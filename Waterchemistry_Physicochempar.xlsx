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jdpe\Documents\DOCS_msi\PhD@UniPau\ACADEMICS\NewCaledonia_article\"/>
    </mc:Choice>
  </mc:AlternateContent>
  <xr:revisionPtr revIDLastSave="0" documentId="13_ncr:1_{23EBD709-A1CA-4179-B7C2-DD0084C57E37}" xr6:coauthVersionLast="47" xr6:coauthVersionMax="47" xr10:uidLastSave="{00000000-0000-0000-0000-000000000000}"/>
  <bookViews>
    <workbookView xWindow="28680" yWindow="-120" windowWidth="29040" windowHeight="15720" xr2:uid="{19C6A8D3-422A-4BEF-B8D2-CEAC8455671A}"/>
  </bookViews>
  <sheets>
    <sheet name="data_og" sheetId="1" r:id="rId1"/>
    <sheet name="data_plots" sheetId="7" r:id="rId2"/>
    <sheet name="Units_ogdt" sheetId="4" r:id="rId3"/>
    <sheet name="Sheet3" sheetId="3" r:id="rId4"/>
    <sheet name="Conversion to mEqL-1" sheetId="9" r:id="rId5"/>
    <sheet name="normalisation to 100" sheetId="10" r:id="rId6"/>
    <sheet name="Data_plot_piper" sheetId="8" r:id="rId7"/>
    <sheet name="Table S2" sheetId="1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8" i="10" l="1"/>
  <c r="AB11" i="10"/>
  <c r="AB12" i="10"/>
  <c r="AB14" i="10"/>
  <c r="AB16" i="10"/>
  <c r="T4" i="10"/>
  <c r="T5" i="10"/>
  <c r="T6" i="10"/>
  <c r="T7" i="10"/>
  <c r="T8" i="10"/>
  <c r="T9" i="10"/>
  <c r="T10" i="10"/>
  <c r="T11" i="10"/>
  <c r="T12" i="10"/>
  <c r="T13" i="10"/>
  <c r="T14" i="10"/>
  <c r="T16" i="10"/>
  <c r="S4" i="10"/>
  <c r="S5" i="10"/>
  <c r="S6" i="10"/>
  <c r="S7" i="10"/>
  <c r="S8" i="10"/>
  <c r="S9" i="10"/>
  <c r="AB9" i="10" s="1"/>
  <c r="S10" i="10"/>
  <c r="S11" i="10"/>
  <c r="S12" i="10"/>
  <c r="S13" i="10"/>
  <c r="S14" i="10"/>
  <c r="S16" i="10"/>
  <c r="T3" i="10"/>
  <c r="S3" i="10"/>
  <c r="R4" i="10"/>
  <c r="R5" i="10"/>
  <c r="R6" i="10"/>
  <c r="R7" i="10"/>
  <c r="R8" i="10"/>
  <c r="R9" i="10"/>
  <c r="R10" i="10"/>
  <c r="R11" i="10"/>
  <c r="R12" i="10"/>
  <c r="R13" i="10"/>
  <c r="R14" i="10"/>
  <c r="R16" i="10"/>
  <c r="R3" i="10"/>
  <c r="P16" i="10"/>
  <c r="Q16" i="10"/>
  <c r="Q4" i="10"/>
  <c r="Q5" i="10"/>
  <c r="Q6" i="10"/>
  <c r="Q7" i="10"/>
  <c r="Q8" i="10"/>
  <c r="Q9" i="10"/>
  <c r="Q10" i="10"/>
  <c r="Q11" i="10"/>
  <c r="Q12" i="10"/>
  <c r="Q13" i="10"/>
  <c r="Q14" i="10"/>
  <c r="Q3" i="10"/>
  <c r="P4" i="10"/>
  <c r="AB4" i="10" s="1"/>
  <c r="P5" i="10"/>
  <c r="AB5" i="10" s="1"/>
  <c r="P6" i="10"/>
  <c r="AB6" i="10" s="1"/>
  <c r="P7" i="10"/>
  <c r="AB7" i="10" s="1"/>
  <c r="P8" i="10"/>
  <c r="P9" i="10"/>
  <c r="P10" i="10"/>
  <c r="AB10" i="10" s="1"/>
  <c r="P11" i="10"/>
  <c r="P12" i="10"/>
  <c r="P13" i="10"/>
  <c r="AB13" i="10" s="1"/>
  <c r="P14" i="10"/>
  <c r="P3" i="10"/>
  <c r="AB3" i="10" s="1"/>
  <c r="O4" i="10" l="1"/>
  <c r="O5" i="10"/>
  <c r="O6" i="10"/>
  <c r="O7" i="10"/>
  <c r="O8" i="10"/>
  <c r="O9" i="10"/>
  <c r="O10" i="10"/>
  <c r="O11" i="10"/>
  <c r="O12" i="10"/>
  <c r="O13" i="10"/>
  <c r="O14" i="10"/>
  <c r="O16" i="10"/>
  <c r="N4" i="10"/>
  <c r="N5" i="10"/>
  <c r="N6" i="10"/>
  <c r="N7" i="10"/>
  <c r="N8" i="10"/>
  <c r="N9" i="10"/>
  <c r="N10" i="10"/>
  <c r="N11" i="10"/>
  <c r="N12" i="10"/>
  <c r="N13" i="10"/>
  <c r="N14" i="10"/>
  <c r="N16" i="10"/>
  <c r="M16" i="10"/>
  <c r="M4" i="10"/>
  <c r="M5" i="10"/>
  <c r="M6" i="10"/>
  <c r="M7" i="10"/>
  <c r="M8" i="10"/>
  <c r="M9" i="10"/>
  <c r="M10" i="10"/>
  <c r="M11" i="10"/>
  <c r="M12" i="10"/>
  <c r="M13" i="10"/>
  <c r="M14" i="10"/>
  <c r="M3" i="10"/>
  <c r="N3" i="10"/>
  <c r="O3" i="10"/>
  <c r="L4" i="10"/>
  <c r="L5" i="10"/>
  <c r="X5" i="10" s="1"/>
  <c r="L6" i="10"/>
  <c r="X6" i="10" s="1"/>
  <c r="L7" i="10"/>
  <c r="X7" i="10" s="1"/>
  <c r="L8" i="10"/>
  <c r="L9" i="10"/>
  <c r="L10" i="10"/>
  <c r="X10" i="10" s="1"/>
  <c r="L11" i="10"/>
  <c r="X11" i="10" s="1"/>
  <c r="L12" i="10"/>
  <c r="X12" i="10" s="1"/>
  <c r="L13" i="10"/>
  <c r="L14" i="10"/>
  <c r="L16" i="10"/>
  <c r="L3" i="10"/>
  <c r="V6" i="9"/>
  <c r="V7" i="9"/>
  <c r="V8" i="9"/>
  <c r="V9" i="9"/>
  <c r="V10" i="9"/>
  <c r="V11" i="9"/>
  <c r="V12" i="9"/>
  <c r="V13" i="9"/>
  <c r="V14" i="9"/>
  <c r="V15" i="9"/>
  <c r="V16" i="9"/>
  <c r="V18" i="9"/>
  <c r="U6" i="9"/>
  <c r="U7" i="9"/>
  <c r="U8" i="9"/>
  <c r="U9" i="9"/>
  <c r="U10" i="9"/>
  <c r="U11" i="9"/>
  <c r="U12" i="9"/>
  <c r="U13" i="9"/>
  <c r="U14" i="9"/>
  <c r="U15" i="9"/>
  <c r="U16" i="9"/>
  <c r="U18" i="9"/>
  <c r="T6" i="9"/>
  <c r="T7" i="9"/>
  <c r="T8" i="9"/>
  <c r="T9" i="9"/>
  <c r="T10" i="9"/>
  <c r="T11" i="9"/>
  <c r="T12" i="9"/>
  <c r="T13" i="9"/>
  <c r="T14" i="9"/>
  <c r="T15" i="9"/>
  <c r="T16" i="9"/>
  <c r="T18" i="9"/>
  <c r="S6" i="9"/>
  <c r="S7" i="9"/>
  <c r="S8" i="9"/>
  <c r="S9" i="9"/>
  <c r="S10" i="9"/>
  <c r="S11" i="9"/>
  <c r="S12" i="9"/>
  <c r="S13" i="9"/>
  <c r="S14" i="9"/>
  <c r="S15" i="9"/>
  <c r="S16" i="9"/>
  <c r="S18" i="9"/>
  <c r="R6" i="9"/>
  <c r="R7" i="9"/>
  <c r="R8" i="9"/>
  <c r="R9" i="9"/>
  <c r="R10" i="9"/>
  <c r="R11" i="9"/>
  <c r="R12" i="9"/>
  <c r="R13" i="9"/>
  <c r="R14" i="9"/>
  <c r="R15" i="9"/>
  <c r="R16" i="9"/>
  <c r="R18" i="9"/>
  <c r="Q6" i="9"/>
  <c r="Q7" i="9"/>
  <c r="Q8" i="9"/>
  <c r="Q9" i="9"/>
  <c r="Q10" i="9"/>
  <c r="Q11" i="9"/>
  <c r="Q12" i="9"/>
  <c r="Q13" i="9"/>
  <c r="Q14" i="9"/>
  <c r="Q15" i="9"/>
  <c r="Q16" i="9"/>
  <c r="Q18" i="9"/>
  <c r="P6" i="9"/>
  <c r="P7" i="9"/>
  <c r="P8" i="9"/>
  <c r="P9" i="9"/>
  <c r="P10" i="9"/>
  <c r="P11" i="9"/>
  <c r="P12" i="9"/>
  <c r="P13" i="9"/>
  <c r="P14" i="9"/>
  <c r="P15" i="9"/>
  <c r="P16" i="9"/>
  <c r="P18" i="9"/>
  <c r="O6" i="9"/>
  <c r="O7" i="9"/>
  <c r="O8" i="9"/>
  <c r="O9" i="9"/>
  <c r="O10" i="9"/>
  <c r="O11" i="9"/>
  <c r="O12" i="9"/>
  <c r="O13" i="9"/>
  <c r="O14" i="9"/>
  <c r="O15" i="9"/>
  <c r="O16" i="9"/>
  <c r="O18" i="9"/>
  <c r="N6" i="9"/>
  <c r="N7" i="9"/>
  <c r="N8" i="9"/>
  <c r="N9" i="9"/>
  <c r="N10" i="9"/>
  <c r="N11" i="9"/>
  <c r="N12" i="9"/>
  <c r="N13" i="9"/>
  <c r="N14" i="9"/>
  <c r="N15" i="9"/>
  <c r="N16" i="9"/>
  <c r="N18" i="9"/>
  <c r="M6" i="9"/>
  <c r="M7" i="9"/>
  <c r="M8" i="9"/>
  <c r="M9" i="9"/>
  <c r="M10" i="9"/>
  <c r="M11" i="9"/>
  <c r="M12" i="9"/>
  <c r="M13" i="9"/>
  <c r="M14" i="9"/>
  <c r="M15" i="9"/>
  <c r="M16" i="9"/>
  <c r="M18" i="9"/>
  <c r="V5" i="9"/>
  <c r="U5" i="9"/>
  <c r="T5" i="9"/>
  <c r="S5" i="9"/>
  <c r="R5" i="9"/>
  <c r="Q5" i="9"/>
  <c r="P5" i="9"/>
  <c r="O5" i="9"/>
  <c r="N5" i="9"/>
  <c r="M5" i="9"/>
  <c r="X9" i="10" l="1"/>
  <c r="X8" i="10"/>
  <c r="X3" i="10"/>
  <c r="X4" i="10"/>
  <c r="X16" i="10"/>
  <c r="X14" i="10"/>
  <c r="X13" i="10"/>
</calcChain>
</file>

<file path=xl/sharedStrings.xml><?xml version="1.0" encoding="utf-8"?>
<sst xmlns="http://schemas.openxmlformats.org/spreadsheetml/2006/main" count="551" uniqueCount="150">
  <si>
    <t xml:space="preserve">Point de prélèvement           </t>
  </si>
  <si>
    <t>Date</t>
  </si>
  <si>
    <t>T. émerg.
°C</t>
  </si>
  <si>
    <t>Cond. 25°C
µS/cm</t>
  </si>
  <si>
    <t>pH</t>
  </si>
  <si>
    <t>Eh
mV</t>
  </si>
  <si>
    <r>
      <rPr>
        <b/>
        <sz val="11"/>
        <rFont val="Calibri"/>
        <family val="2"/>
        <scheme val="minor"/>
      </rPr>
      <t>Na
mg/l</t>
    </r>
  </si>
  <si>
    <r>
      <rPr>
        <b/>
        <sz val="11"/>
        <rFont val="Calibri"/>
        <family val="2"/>
        <scheme val="minor"/>
      </rPr>
      <t>K
mg/l</t>
    </r>
  </si>
  <si>
    <r>
      <rPr>
        <b/>
        <sz val="11"/>
        <rFont val="Calibri"/>
        <family val="2"/>
        <scheme val="minor"/>
      </rPr>
      <t>Ca
mg/l</t>
    </r>
  </si>
  <si>
    <r>
      <rPr>
        <b/>
        <sz val="11"/>
        <rFont val="Calibri"/>
        <family val="2"/>
        <scheme val="minor"/>
      </rPr>
      <t>Mg
mg/l</t>
    </r>
  </si>
  <si>
    <t>HCO3
mg/l</t>
  </si>
  <si>
    <t>CO3
mg/l</t>
  </si>
  <si>
    <r>
      <rPr>
        <b/>
        <sz val="11"/>
        <rFont val="Calibri"/>
        <family val="2"/>
        <scheme val="minor"/>
      </rPr>
      <t>Cl
mg/l</t>
    </r>
  </si>
  <si>
    <t>SO4
mg/l</t>
  </si>
  <si>
    <t>NO3
mg/l</t>
  </si>
  <si>
    <r>
      <rPr>
        <b/>
        <sz val="11"/>
        <rFont val="Calibri"/>
        <family val="2"/>
        <scheme val="minor"/>
      </rPr>
      <t>OH
mg/l</t>
    </r>
  </si>
  <si>
    <t>SiO2
mg/l</t>
  </si>
  <si>
    <r>
      <rPr>
        <b/>
        <sz val="11"/>
        <rFont val="Calibri"/>
        <family val="2"/>
        <scheme val="minor"/>
      </rPr>
      <t>TDS
mg/l</t>
    </r>
  </si>
  <si>
    <r>
      <rPr>
        <b/>
        <sz val="11"/>
        <rFont val="Calibri"/>
        <family val="2"/>
        <scheme val="minor"/>
      </rPr>
      <t>B.I.
%</t>
    </r>
  </si>
  <si>
    <t>05/09/2019 11:15</t>
  </si>
  <si>
    <t xml:space="preserve">Source Nemwegi               </t>
  </si>
  <si>
    <t>05/09/2019 13:30</t>
  </si>
  <si>
    <t xml:space="preserve">Source Kopélia                </t>
  </si>
  <si>
    <t>06/09/2019 11:10</t>
  </si>
  <si>
    <t>&lt; 10</t>
  </si>
  <si>
    <t xml:space="preserve">Source Mokoué               </t>
  </si>
  <si>
    <t>06/09/2019 12:00</t>
  </si>
  <si>
    <t xml:space="preserve">Source Gélima                </t>
  </si>
  <si>
    <t>06/09/2019 14:00</t>
  </si>
  <si>
    <t xml:space="preserve">Source Pourina               </t>
  </si>
  <si>
    <t>10/09/2019 10:00</t>
  </si>
  <si>
    <t xml:space="preserve">Source Poco Mié               </t>
  </si>
  <si>
    <t>10/09/2019 11:25</t>
  </si>
  <si>
    <t xml:space="preserve">Source Lac Yaté               </t>
  </si>
  <si>
    <t>10/09/2019 12:20</t>
  </si>
  <si>
    <t xml:space="preserve">Source Bain des Japonais        </t>
  </si>
  <si>
    <t>BJ</t>
  </si>
  <si>
    <t>11/09/2019 11:00</t>
  </si>
  <si>
    <t xml:space="preserve">Source Kaoris                </t>
  </si>
  <si>
    <t>11/09/2019 12:15</t>
  </si>
  <si>
    <t xml:space="preserve">Source Lembi               </t>
  </si>
  <si>
    <t>11/09/2019 16:10</t>
  </si>
  <si>
    <t xml:space="preserve">Fanama                       </t>
  </si>
  <si>
    <t>12/09/2019 10:00</t>
  </si>
  <si>
    <t>Point de prélèvement</t>
  </si>
  <si>
    <t>d18O_H2O</t>
  </si>
  <si>
    <t>dD_H2O</t>
  </si>
  <si>
    <t>d18O_SO4</t>
  </si>
  <si>
    <t>d34S_SO4</t>
  </si>
  <si>
    <t>d34S_H2S</t>
  </si>
  <si>
    <t>87Sr/86Sr</t>
  </si>
  <si>
    <t>2sd_m</t>
  </si>
  <si>
    <t>Fanama</t>
  </si>
  <si>
    <t>n°             Date</t>
  </si>
  <si>
    <t>T.emerg
°C</t>
  </si>
  <si>
    <r>
      <rPr>
        <b/>
        <sz val="11"/>
        <rFont val="Calibri"/>
        <family val="2"/>
        <scheme val="minor"/>
      </rPr>
      <t>Cond. 25°C
µS/cm</t>
    </r>
  </si>
  <si>
    <r>
      <rPr>
        <b/>
        <sz val="11"/>
        <rFont val="Calibri"/>
        <family val="2"/>
        <scheme val="minor"/>
      </rPr>
      <t>S
mg/l</t>
    </r>
  </si>
  <si>
    <r>
      <rPr>
        <b/>
        <sz val="11"/>
        <rFont val="Calibri"/>
        <family val="2"/>
        <scheme val="minor"/>
      </rPr>
      <t>F
mg/l</t>
    </r>
  </si>
  <si>
    <r>
      <rPr>
        <b/>
        <sz val="11"/>
        <rFont val="Calibri"/>
        <family val="2"/>
        <scheme val="minor"/>
      </rPr>
      <t>Br
mg/l</t>
    </r>
  </si>
  <si>
    <r>
      <rPr>
        <b/>
        <sz val="11"/>
        <rFont val="Calibri"/>
        <family val="2"/>
        <scheme val="minor"/>
      </rPr>
      <t>B
µg/l</t>
    </r>
  </si>
  <si>
    <r>
      <rPr>
        <b/>
        <sz val="11"/>
        <rFont val="Calibri"/>
        <family val="2"/>
        <scheme val="minor"/>
      </rPr>
      <t>Sr
µg/l</t>
    </r>
  </si>
  <si>
    <t>Pévou</t>
  </si>
  <si>
    <r>
      <rPr>
        <b/>
        <sz val="11"/>
        <rFont val="Calibri"/>
        <family val="2"/>
        <scheme val="minor"/>
      </rPr>
      <t xml:space="preserve">PEV       </t>
    </r>
    <r>
      <rPr>
        <sz val="11"/>
        <rFont val="Calibri"/>
        <family val="2"/>
        <scheme val="minor"/>
      </rPr>
      <t>22/03/2019</t>
    </r>
  </si>
  <si>
    <t>Résultats des analyses chimiques (espèces majeures et quelques éléments traces) concernant l’eau de la source Pévou, localisée sur la côte ouest et prélevée par le SGNC en mars 2019.</t>
  </si>
  <si>
    <t>La Crouen River</t>
  </si>
  <si>
    <t>Cr</t>
  </si>
  <si>
    <t>IDCs</t>
  </si>
  <si>
    <t>Site</t>
  </si>
  <si>
    <t xml:space="preserve">Units </t>
  </si>
  <si>
    <t>Eh_mV</t>
  </si>
  <si>
    <t>Cond</t>
  </si>
  <si>
    <t>T</t>
  </si>
  <si>
    <t>B.I.</t>
  </si>
  <si>
    <t>TDS</t>
  </si>
  <si>
    <t>SiO2</t>
  </si>
  <si>
    <t>OH</t>
  </si>
  <si>
    <t>NO3</t>
  </si>
  <si>
    <t>SO4</t>
  </si>
  <si>
    <t>Cl</t>
  </si>
  <si>
    <t>CO3</t>
  </si>
  <si>
    <t>HCO3</t>
  </si>
  <si>
    <t>Mg</t>
  </si>
  <si>
    <t>Ca</t>
  </si>
  <si>
    <t>K</t>
  </si>
  <si>
    <t>Na</t>
  </si>
  <si>
    <t>Nemwegi</t>
  </si>
  <si>
    <t>Kopelia</t>
  </si>
  <si>
    <r>
      <t xml:space="preserve">La Crouen_Captage </t>
    </r>
    <r>
      <rPr>
        <sz val="6"/>
        <rFont val="Calibri"/>
        <family val="2"/>
        <scheme val="minor"/>
      </rPr>
      <t xml:space="preserve">          </t>
    </r>
  </si>
  <si>
    <t>Gélima</t>
  </si>
  <si>
    <t>Pourina</t>
  </si>
  <si>
    <t>Poco Mie</t>
  </si>
  <si>
    <t>Lac Yaté</t>
  </si>
  <si>
    <t>Bains des Kaoris</t>
  </si>
  <si>
    <t>Bains des Japonais</t>
  </si>
  <si>
    <t>Lembi River</t>
  </si>
  <si>
    <t>Nmg</t>
  </si>
  <si>
    <t>Kpl</t>
  </si>
  <si>
    <t>Glm</t>
  </si>
  <si>
    <t>Mo</t>
  </si>
  <si>
    <t>Prn</t>
  </si>
  <si>
    <t>PM</t>
  </si>
  <si>
    <t>LY</t>
  </si>
  <si>
    <t>BK</t>
  </si>
  <si>
    <t>L</t>
  </si>
  <si>
    <t>Fnm</t>
  </si>
  <si>
    <t>nan</t>
  </si>
  <si>
    <t>X</t>
  </si>
  <si>
    <t>Y</t>
  </si>
  <si>
    <t xml:space="preserve">Debit </t>
  </si>
  <si>
    <t>O2_diss</t>
  </si>
  <si>
    <t>O2_diss_prc</t>
  </si>
  <si>
    <t>Alc</t>
  </si>
  <si>
    <t>H2S</t>
  </si>
  <si>
    <t>Comment</t>
  </si>
  <si>
    <t>Geol_obs</t>
  </si>
  <si>
    <t>oui</t>
  </si>
  <si>
    <t>non</t>
  </si>
  <si>
    <t>Debit
l/mn</t>
  </si>
  <si>
    <t>O2_diss
mg/l</t>
  </si>
  <si>
    <t>O2_diss_prc
%</t>
  </si>
  <si>
    <t>Alc
méq/l</t>
  </si>
  <si>
    <t>Long</t>
  </si>
  <si>
    <t>Lat</t>
  </si>
  <si>
    <t>La Crouen</t>
  </si>
  <si>
    <t xml:space="preserve">Nemwegi </t>
  </si>
  <si>
    <t>Mokoué</t>
  </si>
  <si>
    <t>B. Japonais</t>
  </si>
  <si>
    <t>Kaoris</t>
  </si>
  <si>
    <t>Lembi</t>
  </si>
  <si>
    <t>Annotation_map</t>
  </si>
  <si>
    <t>Mokoué River</t>
  </si>
  <si>
    <t>&lt; 0.5</t>
  </si>
  <si>
    <t>Example_book</t>
  </si>
  <si>
    <t>Valence</t>
  </si>
  <si>
    <t>Molar mass</t>
  </si>
  <si>
    <t>at</t>
  </si>
  <si>
    <t>Ion (mg/L)</t>
  </si>
  <si>
    <t>Ion (meq/L)</t>
  </si>
  <si>
    <t>% Cations; % Anions</t>
  </si>
  <si>
    <t>Date &amp; time</t>
  </si>
  <si>
    <t>Na + K</t>
  </si>
  <si>
    <t>HCO3 + CO3 + OH</t>
  </si>
  <si>
    <t>N</t>
  </si>
  <si>
    <t>S</t>
  </si>
  <si>
    <t>Class</t>
  </si>
  <si>
    <t>U</t>
  </si>
  <si>
    <t>Zone</t>
  </si>
  <si>
    <t>North</t>
  </si>
  <si>
    <t>South</t>
  </si>
  <si>
    <t>T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</si>
</sst>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5"/>
      <color rgb="FF000000"/>
      <name val="Arial"/>
    </font>
    <font>
      <b/>
      <i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164" fontId="3" fillId="0" borderId="1" xfId="0" applyNumberFormat="1" applyFont="1" applyBorder="1" applyAlignment="1">
      <alignment horizontal="lef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left" vertical="top" shrinkToFit="1"/>
    </xf>
    <xf numFmtId="0" fontId="6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0" xfId="0" applyFont="1"/>
    <xf numFmtId="0" fontId="7" fillId="0" borderId="0" xfId="0" applyFont="1"/>
    <xf numFmtId="0" fontId="0" fillId="0" borderId="2" xfId="0" applyBorder="1" applyAlignment="1">
      <alignment horizontal="left" vertical="top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/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164" fontId="3" fillId="0" borderId="2" xfId="0" applyNumberFormat="1" applyFont="1" applyBorder="1" applyAlignment="1">
      <alignment horizontal="center" vertical="center" shrinkToFit="1"/>
    </xf>
    <xf numFmtId="1" fontId="3" fillId="0" borderId="2" xfId="0" applyNumberFormat="1" applyFont="1" applyBorder="1" applyAlignment="1">
      <alignment horizontal="center" vertical="center" shrinkToFit="1"/>
    </xf>
    <xf numFmtId="2" fontId="3" fillId="0" borderId="2" xfId="0" applyNumberFormat="1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shrinkToFit="1"/>
    </xf>
    <xf numFmtId="0" fontId="10" fillId="0" borderId="0" xfId="0" applyFont="1" applyAlignment="1">
      <alignment vertical="top" wrapText="1"/>
    </xf>
    <xf numFmtId="1" fontId="10" fillId="0" borderId="0" xfId="0" applyNumberFormat="1" applyFont="1" applyAlignment="1">
      <alignment vertical="top" wrapText="1"/>
    </xf>
    <xf numFmtId="1" fontId="12" fillId="0" borderId="0" xfId="0" applyNumberFormat="1" applyFont="1" applyAlignment="1">
      <alignment vertical="top" wrapText="1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center" vertical="top" wrapText="1"/>
    </xf>
    <xf numFmtId="2" fontId="10" fillId="0" borderId="0" xfId="0" applyNumberFormat="1" applyFont="1" applyAlignment="1">
      <alignment horizontal="center" vertical="top" wrapText="1"/>
    </xf>
    <xf numFmtId="16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64" fontId="11" fillId="0" borderId="0" xfId="0" applyNumberFormat="1" applyFont="1"/>
    <xf numFmtId="0" fontId="11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vertical="top" wrapText="1"/>
    </xf>
    <xf numFmtId="164" fontId="10" fillId="0" borderId="2" xfId="0" applyNumberFormat="1" applyFont="1" applyBorder="1" applyAlignment="1">
      <alignment vertical="top" wrapText="1"/>
    </xf>
    <xf numFmtId="2" fontId="10" fillId="0" borderId="2" xfId="0" applyNumberFormat="1" applyFont="1" applyBorder="1" applyAlignment="1">
      <alignment horizontal="center" vertical="top" wrapText="1"/>
    </xf>
    <xf numFmtId="164" fontId="10" fillId="0" borderId="2" xfId="0" applyNumberFormat="1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1" fontId="10" fillId="0" borderId="2" xfId="0" applyNumberFormat="1" applyFont="1" applyBorder="1" applyAlignment="1">
      <alignment vertical="top" wrapText="1"/>
    </xf>
    <xf numFmtId="2" fontId="11" fillId="0" borderId="2" xfId="0" applyNumberFormat="1" applyFon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2" xfId="0" applyBorder="1" applyAlignment="1">
      <alignment horizontal="left"/>
    </xf>
    <xf numFmtId="164" fontId="3" fillId="0" borderId="0" xfId="0" applyNumberFormat="1" applyFont="1" applyAlignment="1">
      <alignment horizontal="center" vertical="center" shrinkToFit="1"/>
    </xf>
    <xf numFmtId="2" fontId="3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shrinkToFit="1"/>
    </xf>
    <xf numFmtId="2" fontId="1" fillId="0" borderId="2" xfId="0" applyNumberFormat="1" applyFont="1" applyBorder="1"/>
    <xf numFmtId="2" fontId="0" fillId="0" borderId="0" xfId="0" applyNumberFormat="1"/>
    <xf numFmtId="2" fontId="7" fillId="0" borderId="0" xfId="0" applyNumberFormat="1" applyFont="1"/>
    <xf numFmtId="0" fontId="13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2" fontId="0" fillId="0" borderId="9" xfId="0" applyNumberFormat="1" applyBorder="1"/>
    <xf numFmtId="2" fontId="0" fillId="0" borderId="10" xfId="0" applyNumberFormat="1" applyBorder="1"/>
    <xf numFmtId="2" fontId="7" fillId="0" borderId="11" xfId="0" applyNumberFormat="1" applyFont="1" applyBorder="1"/>
    <xf numFmtId="2" fontId="7" fillId="0" borderId="12" xfId="0" applyNumberFormat="1" applyFont="1" applyBorder="1"/>
    <xf numFmtId="2" fontId="7" fillId="0" borderId="13" xfId="0" applyNumberFormat="1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14" fillId="0" borderId="0" xfId="0" applyFont="1"/>
    <xf numFmtId="0" fontId="16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/>
    </xf>
    <xf numFmtId="164" fontId="18" fillId="0" borderId="0" xfId="0" applyNumberFormat="1" applyFont="1" applyAlignment="1">
      <alignment horizontal="center" vertical="center" shrinkToFit="1"/>
    </xf>
    <xf numFmtId="2" fontId="18" fillId="0" borderId="0" xfId="0" applyNumberFormat="1" applyFont="1" applyAlignment="1">
      <alignment horizontal="center" vertical="center" shrinkToFit="1"/>
    </xf>
    <xf numFmtId="0" fontId="19" fillId="0" borderId="0" xfId="0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shrinkToFit="1"/>
    </xf>
    <xf numFmtId="0" fontId="20" fillId="0" borderId="0" xfId="0" applyFont="1"/>
    <xf numFmtId="2" fontId="14" fillId="0" borderId="0" xfId="0" applyNumberFormat="1" applyFont="1"/>
    <xf numFmtId="0" fontId="15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left" vertical="top"/>
    </xf>
    <xf numFmtId="2" fontId="14" fillId="0" borderId="0" xfId="0" applyNumberFormat="1" applyFont="1" applyAlignment="1">
      <alignment horizontal="center" vertical="center"/>
    </xf>
    <xf numFmtId="164" fontId="18" fillId="0" borderId="18" xfId="0" applyNumberFormat="1" applyFont="1" applyBorder="1" applyAlignment="1">
      <alignment horizontal="center" vertical="center" shrinkToFit="1"/>
    </xf>
    <xf numFmtId="164" fontId="18" fillId="0" borderId="19" xfId="0" applyNumberFormat="1" applyFont="1" applyBorder="1" applyAlignment="1">
      <alignment horizontal="center" vertical="center" shrinkToFit="1"/>
    </xf>
    <xf numFmtId="164" fontId="18" fillId="0" borderId="20" xfId="0" applyNumberFormat="1" applyFont="1" applyBorder="1" applyAlignment="1">
      <alignment horizontal="center" vertical="center" shrinkToFit="1"/>
    </xf>
    <xf numFmtId="164" fontId="18" fillId="0" borderId="21" xfId="0" applyNumberFormat="1" applyFont="1" applyBorder="1" applyAlignment="1">
      <alignment horizontal="center" vertical="center" shrinkToFit="1"/>
    </xf>
    <xf numFmtId="164" fontId="18" fillId="0" borderId="22" xfId="0" applyNumberFormat="1" applyFont="1" applyBorder="1" applyAlignment="1">
      <alignment horizontal="center" vertical="center" shrinkToFit="1"/>
    </xf>
    <xf numFmtId="2" fontId="14" fillId="0" borderId="18" xfId="0" applyNumberFormat="1" applyFont="1" applyBorder="1" applyAlignment="1">
      <alignment horizontal="center" vertical="center"/>
    </xf>
    <xf numFmtId="2" fontId="14" fillId="0" borderId="19" xfId="0" applyNumberFormat="1" applyFont="1" applyBorder="1" applyAlignment="1">
      <alignment horizontal="center" vertical="center"/>
    </xf>
    <xf numFmtId="2" fontId="14" fillId="0" borderId="20" xfId="0" applyNumberFormat="1" applyFont="1" applyBorder="1" applyAlignment="1">
      <alignment horizontal="center" vertical="center"/>
    </xf>
    <xf numFmtId="2" fontId="14" fillId="0" borderId="21" xfId="0" applyNumberFormat="1" applyFont="1" applyBorder="1" applyAlignment="1">
      <alignment horizontal="center" vertical="center"/>
    </xf>
    <xf numFmtId="2" fontId="14" fillId="0" borderId="22" xfId="0" applyNumberFormat="1" applyFont="1" applyBorder="1" applyAlignment="1">
      <alignment horizontal="center" vertical="center"/>
    </xf>
    <xf numFmtId="0" fontId="14" fillId="0" borderId="23" xfId="0" applyFont="1" applyBorder="1" applyAlignment="1">
      <alignment horizontal="left" vertical="top"/>
    </xf>
    <xf numFmtId="0" fontId="14" fillId="0" borderId="23" xfId="0" applyFont="1" applyBorder="1"/>
    <xf numFmtId="0" fontId="19" fillId="0" borderId="23" xfId="0" applyFont="1" applyBorder="1" applyAlignment="1">
      <alignment vertical="center" wrapText="1"/>
    </xf>
    <xf numFmtId="0" fontId="16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64" fontId="19" fillId="0" borderId="0" xfId="0" applyNumberFormat="1" applyFont="1" applyAlignment="1">
      <alignment horizontal="center" vertical="center" wrapText="1"/>
    </xf>
    <xf numFmtId="164" fontId="18" fillId="0" borderId="19" xfId="0" applyNumberFormat="1" applyFont="1" applyBorder="1" applyAlignment="1">
      <alignment horizontal="center" vertical="center" wrapText="1"/>
    </xf>
    <xf numFmtId="164" fontId="19" fillId="0" borderId="21" xfId="0" applyNumberFormat="1" applyFont="1" applyBorder="1" applyAlignment="1">
      <alignment horizontal="center" vertical="center" wrapText="1"/>
    </xf>
    <xf numFmtId="1" fontId="0" fillId="0" borderId="11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07B24-7AFF-4A8F-B435-1413E3644E7F}">
  <dimension ref="A1:AO25"/>
  <sheetViews>
    <sheetView tabSelected="1" zoomScale="115" zoomScaleNormal="11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J18" sqref="J18"/>
    </sheetView>
  </sheetViews>
  <sheetFormatPr defaultRowHeight="15" x14ac:dyDescent="0.25"/>
  <cols>
    <col min="1" max="1" width="23.85546875" customWidth="1"/>
    <col min="2" max="2" width="18.85546875" customWidth="1"/>
    <col min="3" max="3" width="6.140625" customWidth="1"/>
    <col min="4" max="4" width="16.7109375" customWidth="1"/>
    <col min="5" max="5" width="8.85546875" style="35"/>
    <col min="6" max="6" width="8.85546875" style="36"/>
    <col min="7" max="8" width="15.28515625" style="36" customWidth="1"/>
    <col min="9" max="9" width="6.85546875" style="36" customWidth="1"/>
    <col min="10" max="13" width="7.42578125" customWidth="1"/>
    <col min="14" max="26" width="7" customWidth="1"/>
    <col min="27" max="33" width="11.28515625" customWidth="1"/>
    <col min="34" max="34" width="8.85546875" style="42"/>
    <col min="35" max="35" width="8.85546875"/>
    <col min="36" max="36" width="11.85546875" bestFit="1" customWidth="1"/>
    <col min="37" max="37" width="6.7109375" style="44" customWidth="1"/>
    <col min="38" max="38" width="6.7109375" customWidth="1"/>
    <col min="39" max="40" width="19.140625" customWidth="1"/>
    <col min="41" max="41" width="16" customWidth="1"/>
  </cols>
  <sheetData>
    <row r="1" spans="1:41" s="20" customFormat="1" x14ac:dyDescent="0.25">
      <c r="A1" s="25" t="s">
        <v>0</v>
      </c>
      <c r="B1" s="25" t="s">
        <v>67</v>
      </c>
      <c r="C1" s="25" t="s">
        <v>66</v>
      </c>
      <c r="D1" s="25" t="s">
        <v>139</v>
      </c>
      <c r="E1" s="45" t="s">
        <v>106</v>
      </c>
      <c r="F1" s="45" t="s">
        <v>107</v>
      </c>
      <c r="G1" s="45" t="s">
        <v>121</v>
      </c>
      <c r="H1" s="45" t="s">
        <v>122</v>
      </c>
      <c r="I1" s="45" t="s">
        <v>146</v>
      </c>
      <c r="J1" s="25" t="s">
        <v>149</v>
      </c>
      <c r="K1" s="25" t="s">
        <v>70</v>
      </c>
      <c r="L1" s="25" t="s">
        <v>4</v>
      </c>
      <c r="M1" s="25" t="s">
        <v>69</v>
      </c>
      <c r="N1" s="25" t="s">
        <v>84</v>
      </c>
      <c r="O1" s="46" t="s">
        <v>83</v>
      </c>
      <c r="P1" s="46" t="s">
        <v>82</v>
      </c>
      <c r="Q1" s="46" t="s">
        <v>81</v>
      </c>
      <c r="R1" s="25" t="s">
        <v>80</v>
      </c>
      <c r="S1" s="25" t="s">
        <v>79</v>
      </c>
      <c r="T1" s="46" t="s">
        <v>78</v>
      </c>
      <c r="U1" s="25" t="s">
        <v>77</v>
      </c>
      <c r="V1" s="25" t="s">
        <v>76</v>
      </c>
      <c r="W1" s="46" t="s">
        <v>75</v>
      </c>
      <c r="X1" s="25" t="s">
        <v>74</v>
      </c>
      <c r="Y1" s="46" t="s">
        <v>73</v>
      </c>
      <c r="Z1" s="25" t="s">
        <v>72</v>
      </c>
      <c r="AA1" s="47" t="s">
        <v>45</v>
      </c>
      <c r="AB1" s="47" t="s">
        <v>46</v>
      </c>
      <c r="AC1" s="47" t="s">
        <v>47</v>
      </c>
      <c r="AD1" s="47" t="s">
        <v>48</v>
      </c>
      <c r="AE1" s="47" t="s">
        <v>49</v>
      </c>
      <c r="AF1" s="47" t="s">
        <v>50</v>
      </c>
      <c r="AG1" s="47" t="s">
        <v>51</v>
      </c>
      <c r="AH1" s="48" t="s">
        <v>108</v>
      </c>
      <c r="AI1" s="48" t="s">
        <v>109</v>
      </c>
      <c r="AJ1" s="48" t="s">
        <v>110</v>
      </c>
      <c r="AK1" s="48" t="s">
        <v>111</v>
      </c>
      <c r="AL1" s="48" t="s">
        <v>112</v>
      </c>
      <c r="AM1" s="48" t="s">
        <v>113</v>
      </c>
      <c r="AN1" s="48" t="s">
        <v>114</v>
      </c>
      <c r="AO1" s="59" t="s">
        <v>129</v>
      </c>
    </row>
    <row r="2" spans="1:41" x14ac:dyDescent="0.25">
      <c r="A2" s="26" t="s">
        <v>87</v>
      </c>
      <c r="B2" s="22" t="s">
        <v>64</v>
      </c>
      <c r="C2" s="26" t="s">
        <v>65</v>
      </c>
      <c r="D2" s="23" t="s">
        <v>19</v>
      </c>
      <c r="E2" s="49">
        <v>388554</v>
      </c>
      <c r="F2" s="49">
        <v>296066</v>
      </c>
      <c r="G2" s="49"/>
      <c r="H2" s="49"/>
      <c r="I2" s="123" t="s">
        <v>147</v>
      </c>
      <c r="J2" s="27">
        <v>42.5</v>
      </c>
      <c r="K2" s="28">
        <v>233</v>
      </c>
      <c r="L2" s="29">
        <v>9.18</v>
      </c>
      <c r="M2" s="28">
        <v>-440</v>
      </c>
      <c r="N2" s="27">
        <v>49.3</v>
      </c>
      <c r="O2" s="27">
        <v>1.2</v>
      </c>
      <c r="P2" s="27">
        <v>1.6</v>
      </c>
      <c r="Q2" s="29">
        <v>0.18</v>
      </c>
      <c r="R2" s="28">
        <v>53</v>
      </c>
      <c r="S2" s="28">
        <v>23</v>
      </c>
      <c r="T2" s="27">
        <v>8.9</v>
      </c>
      <c r="U2" s="27">
        <v>16.100000000000001</v>
      </c>
      <c r="V2" s="23" t="s">
        <v>131</v>
      </c>
      <c r="W2" s="30" t="s">
        <v>105</v>
      </c>
      <c r="X2" s="27">
        <v>54.9</v>
      </c>
      <c r="Y2" s="28">
        <v>211</v>
      </c>
      <c r="Z2" s="29">
        <v>2.15</v>
      </c>
      <c r="AA2" s="29">
        <v>-5.6</v>
      </c>
      <c r="AB2" s="29">
        <v>-30.84</v>
      </c>
      <c r="AC2" s="27">
        <v>11.2</v>
      </c>
      <c r="AD2" s="27">
        <v>7.5</v>
      </c>
      <c r="AE2" s="27">
        <v>9.1999999999999993</v>
      </c>
      <c r="AF2" s="23">
        <v>0.70588799999999996</v>
      </c>
      <c r="AG2" s="31">
        <v>7.9999999999999996E-6</v>
      </c>
      <c r="AH2" s="50"/>
      <c r="AI2" s="51">
        <v>0.01</v>
      </c>
      <c r="AJ2" s="52">
        <v>0.1</v>
      </c>
      <c r="AK2" s="53">
        <v>1.61</v>
      </c>
      <c r="AL2" s="53" t="s">
        <v>115</v>
      </c>
      <c r="AM2" s="24"/>
      <c r="AN2" s="24"/>
      <c r="AO2" s="24" t="s">
        <v>123</v>
      </c>
    </row>
    <row r="3" spans="1:41" x14ac:dyDescent="0.25">
      <c r="A3" s="26" t="s">
        <v>20</v>
      </c>
      <c r="B3" s="24" t="s">
        <v>85</v>
      </c>
      <c r="C3" s="24" t="s">
        <v>95</v>
      </c>
      <c r="D3" s="23" t="s">
        <v>21</v>
      </c>
      <c r="E3" s="54">
        <v>395711</v>
      </c>
      <c r="F3" s="54">
        <v>296565</v>
      </c>
      <c r="G3" s="54"/>
      <c r="H3" s="54"/>
      <c r="I3" s="123" t="s">
        <v>147</v>
      </c>
      <c r="J3" s="27">
        <v>27</v>
      </c>
      <c r="K3" s="28">
        <v>346</v>
      </c>
      <c r="L3" s="29">
        <v>9.3800000000000008</v>
      </c>
      <c r="M3" s="28">
        <v>-395</v>
      </c>
      <c r="N3" s="27">
        <v>76.599999999999994</v>
      </c>
      <c r="O3" s="27">
        <v>1.9</v>
      </c>
      <c r="P3" s="27">
        <v>0.9</v>
      </c>
      <c r="Q3" s="29">
        <v>0.36</v>
      </c>
      <c r="R3" s="28">
        <v>69</v>
      </c>
      <c r="S3" s="28">
        <v>42</v>
      </c>
      <c r="T3" s="27">
        <v>15.4</v>
      </c>
      <c r="U3" s="27">
        <v>19.7</v>
      </c>
      <c r="V3" s="23" t="s">
        <v>131</v>
      </c>
      <c r="W3" s="30" t="s">
        <v>105</v>
      </c>
      <c r="X3" s="27">
        <v>61.3</v>
      </c>
      <c r="Y3" s="28">
        <v>293</v>
      </c>
      <c r="Z3" s="29">
        <v>2.34</v>
      </c>
      <c r="AA3" s="29">
        <v>-5.07</v>
      </c>
      <c r="AB3" s="29">
        <v>-30.18</v>
      </c>
      <c r="AC3" s="30" t="s">
        <v>105</v>
      </c>
      <c r="AD3" s="30" t="s">
        <v>105</v>
      </c>
      <c r="AE3" s="30" t="s">
        <v>105</v>
      </c>
      <c r="AF3" s="30" t="s">
        <v>105</v>
      </c>
      <c r="AG3" s="30" t="s">
        <v>105</v>
      </c>
      <c r="AH3" s="50"/>
      <c r="AI3" s="51">
        <v>0.01</v>
      </c>
      <c r="AJ3" s="52">
        <v>0.1</v>
      </c>
      <c r="AK3" s="53">
        <v>2.13</v>
      </c>
      <c r="AL3" s="53" t="s">
        <v>115</v>
      </c>
      <c r="AM3" s="24"/>
      <c r="AN3" s="24"/>
      <c r="AO3" s="60" t="s">
        <v>124</v>
      </c>
    </row>
    <row r="4" spans="1:41" x14ac:dyDescent="0.25">
      <c r="A4" s="26" t="s">
        <v>22</v>
      </c>
      <c r="B4" s="26" t="s">
        <v>86</v>
      </c>
      <c r="C4" s="26" t="s">
        <v>96</v>
      </c>
      <c r="D4" s="23" t="s">
        <v>23</v>
      </c>
      <c r="E4" s="54">
        <v>401739</v>
      </c>
      <c r="F4" s="54">
        <v>290619</v>
      </c>
      <c r="G4" s="54"/>
      <c r="H4" s="54"/>
      <c r="I4" s="123" t="s">
        <v>147</v>
      </c>
      <c r="J4" s="27">
        <v>25.3</v>
      </c>
      <c r="K4" s="28">
        <v>399</v>
      </c>
      <c r="L4" s="29">
        <v>7.92</v>
      </c>
      <c r="M4" s="28">
        <v>-336</v>
      </c>
      <c r="N4" s="27">
        <v>75.099999999999994</v>
      </c>
      <c r="O4" s="27">
        <v>0.7</v>
      </c>
      <c r="P4" s="27">
        <v>14.2</v>
      </c>
      <c r="Q4" s="27">
        <v>1.8</v>
      </c>
      <c r="R4" s="28">
        <v>217</v>
      </c>
      <c r="S4" s="23" t="s">
        <v>24</v>
      </c>
      <c r="T4" s="27">
        <v>13.8</v>
      </c>
      <c r="U4" s="27">
        <v>6.3</v>
      </c>
      <c r="V4" s="23" t="s">
        <v>131</v>
      </c>
      <c r="W4" s="30" t="s">
        <v>105</v>
      </c>
      <c r="X4" s="27">
        <v>24.8</v>
      </c>
      <c r="Y4" s="28">
        <v>358</v>
      </c>
      <c r="Z4" s="29">
        <v>1.57</v>
      </c>
      <c r="AA4" s="29">
        <v>-5.63</v>
      </c>
      <c r="AB4" s="29">
        <v>-33.200000000000003</v>
      </c>
      <c r="AC4" s="30" t="s">
        <v>105</v>
      </c>
      <c r="AD4" s="30" t="s">
        <v>105</v>
      </c>
      <c r="AE4" s="30" t="s">
        <v>105</v>
      </c>
      <c r="AF4" s="30" t="s">
        <v>105</v>
      </c>
      <c r="AG4" s="30" t="s">
        <v>105</v>
      </c>
      <c r="AH4" s="50">
        <v>6.1</v>
      </c>
      <c r="AI4" s="51">
        <v>0.05</v>
      </c>
      <c r="AJ4" s="52">
        <v>0.6</v>
      </c>
      <c r="AK4" s="53">
        <v>3.02</v>
      </c>
      <c r="AL4" s="53" t="s">
        <v>116</v>
      </c>
      <c r="AM4" s="24"/>
      <c r="AN4" s="24"/>
      <c r="AO4" s="26" t="s">
        <v>86</v>
      </c>
    </row>
    <row r="5" spans="1:41" x14ac:dyDescent="0.25">
      <c r="A5" s="26" t="s">
        <v>25</v>
      </c>
      <c r="B5" s="24" t="s">
        <v>130</v>
      </c>
      <c r="C5" s="26" t="s">
        <v>98</v>
      </c>
      <c r="D5" s="23" t="s">
        <v>26</v>
      </c>
      <c r="E5" s="54">
        <v>407110</v>
      </c>
      <c r="F5" s="54">
        <v>293287</v>
      </c>
      <c r="G5" s="54"/>
      <c r="H5" s="54"/>
      <c r="I5" s="123" t="s">
        <v>147</v>
      </c>
      <c r="J5" s="27">
        <v>24.7</v>
      </c>
      <c r="K5" s="28">
        <v>652</v>
      </c>
      <c r="L5" s="29">
        <v>7.82</v>
      </c>
      <c r="M5" s="28">
        <v>-322</v>
      </c>
      <c r="N5" s="27">
        <v>69.099999999999994</v>
      </c>
      <c r="O5" s="27">
        <v>1.3</v>
      </c>
      <c r="P5" s="27">
        <v>4.8</v>
      </c>
      <c r="Q5" s="27">
        <v>39.4</v>
      </c>
      <c r="R5" s="28">
        <v>281</v>
      </c>
      <c r="S5" s="23" t="s">
        <v>24</v>
      </c>
      <c r="T5" s="27">
        <v>62.2</v>
      </c>
      <c r="U5" s="27">
        <v>5.7</v>
      </c>
      <c r="V5" s="23" t="s">
        <v>131</v>
      </c>
      <c r="W5" s="30" t="s">
        <v>105</v>
      </c>
      <c r="X5" s="27">
        <v>24.3</v>
      </c>
      <c r="Y5" s="28">
        <v>492</v>
      </c>
      <c r="Z5" s="29">
        <v>0.65</v>
      </c>
      <c r="AA5" s="29">
        <v>-5.63</v>
      </c>
      <c r="AB5" s="29">
        <v>-36.159999999999997</v>
      </c>
      <c r="AC5" s="30" t="s">
        <v>105</v>
      </c>
      <c r="AD5" s="30" t="s">
        <v>105</v>
      </c>
      <c r="AE5" s="30" t="s">
        <v>105</v>
      </c>
      <c r="AF5" s="31">
        <v>0.70538000000000001</v>
      </c>
      <c r="AG5" s="31">
        <v>6.0000000000000002E-6</v>
      </c>
      <c r="AH5" s="50"/>
      <c r="AI5" s="51">
        <v>0.37</v>
      </c>
      <c r="AJ5" s="52">
        <v>4.4000000000000004</v>
      </c>
      <c r="AK5" s="53">
        <v>3.94</v>
      </c>
      <c r="AL5" s="53" t="s">
        <v>115</v>
      </c>
      <c r="AM5" s="24"/>
      <c r="AN5" s="24"/>
      <c r="AO5" s="24" t="s">
        <v>125</v>
      </c>
    </row>
    <row r="6" spans="1:41" x14ac:dyDescent="0.25">
      <c r="A6" s="26" t="s">
        <v>27</v>
      </c>
      <c r="B6" s="26" t="s">
        <v>88</v>
      </c>
      <c r="C6" s="26" t="s">
        <v>97</v>
      </c>
      <c r="D6" s="23" t="s">
        <v>28</v>
      </c>
      <c r="E6" s="49">
        <v>398660</v>
      </c>
      <c r="F6" s="54">
        <v>294913</v>
      </c>
      <c r="G6" s="54"/>
      <c r="H6" s="54"/>
      <c r="I6" s="123" t="s">
        <v>147</v>
      </c>
      <c r="J6" s="27">
        <v>29.3</v>
      </c>
      <c r="K6" s="28">
        <v>257</v>
      </c>
      <c r="L6" s="29">
        <v>9.32</v>
      </c>
      <c r="M6" s="28">
        <v>-386</v>
      </c>
      <c r="N6" s="27">
        <v>56.6</v>
      </c>
      <c r="O6" s="27">
        <v>1.4</v>
      </c>
      <c r="P6" s="27">
        <v>1.5</v>
      </c>
      <c r="Q6" s="29">
        <v>0.28000000000000003</v>
      </c>
      <c r="R6" s="28">
        <v>97</v>
      </c>
      <c r="S6" s="28">
        <v>16</v>
      </c>
      <c r="T6" s="27">
        <v>7.5</v>
      </c>
      <c r="U6" s="27">
        <v>6.7</v>
      </c>
      <c r="V6" s="23" t="s">
        <v>131</v>
      </c>
      <c r="W6" s="30" t="s">
        <v>105</v>
      </c>
      <c r="X6" s="27">
        <v>38</v>
      </c>
      <c r="Y6" s="28">
        <v>227</v>
      </c>
      <c r="Z6" s="29">
        <v>4.8</v>
      </c>
      <c r="AA6" s="29">
        <v>-5.47</v>
      </c>
      <c r="AB6" s="29">
        <v>-32.07</v>
      </c>
      <c r="AC6" s="27">
        <v>14.1</v>
      </c>
      <c r="AD6" s="27">
        <v>10.4</v>
      </c>
      <c r="AE6" s="30" t="s">
        <v>105</v>
      </c>
      <c r="AF6" s="31">
        <v>0.70784499999999995</v>
      </c>
      <c r="AG6" s="31">
        <v>7.9999999999999996E-6</v>
      </c>
      <c r="AH6" s="50"/>
      <c r="AI6" s="51">
        <v>0</v>
      </c>
      <c r="AJ6" s="52">
        <v>0</v>
      </c>
      <c r="AK6" s="53">
        <v>1.91</v>
      </c>
      <c r="AL6" s="53" t="s">
        <v>115</v>
      </c>
      <c r="AM6" s="24"/>
      <c r="AN6" s="24"/>
      <c r="AO6" s="26" t="s">
        <v>88</v>
      </c>
    </row>
    <row r="7" spans="1:41" x14ac:dyDescent="0.25">
      <c r="A7" s="26" t="s">
        <v>42</v>
      </c>
      <c r="B7" s="24" t="s">
        <v>52</v>
      </c>
      <c r="C7" s="26" t="s">
        <v>104</v>
      </c>
      <c r="D7" s="23" t="s">
        <v>43</v>
      </c>
      <c r="E7" s="54">
        <v>412450</v>
      </c>
      <c r="F7" s="49">
        <v>284086</v>
      </c>
      <c r="G7" s="49"/>
      <c r="H7" s="49"/>
      <c r="I7" s="123" t="s">
        <v>147</v>
      </c>
      <c r="J7" s="27">
        <v>31.4</v>
      </c>
      <c r="K7" s="28">
        <v>450</v>
      </c>
      <c r="L7" s="29">
        <v>8.7100000000000009</v>
      </c>
      <c r="M7" s="28">
        <v>-375</v>
      </c>
      <c r="N7" s="27">
        <v>102.5</v>
      </c>
      <c r="O7" s="27">
        <v>1.2</v>
      </c>
      <c r="P7" s="27">
        <v>2.7</v>
      </c>
      <c r="Q7" s="27">
        <v>1.8</v>
      </c>
      <c r="R7" s="28">
        <v>205</v>
      </c>
      <c r="S7" s="28">
        <v>17</v>
      </c>
      <c r="T7" s="28">
        <v>20</v>
      </c>
      <c r="U7" s="27">
        <v>2.5</v>
      </c>
      <c r="V7" s="23" t="s">
        <v>131</v>
      </c>
      <c r="W7" s="30" t="s">
        <v>105</v>
      </c>
      <c r="X7" s="27">
        <v>28.4</v>
      </c>
      <c r="Y7" s="28">
        <v>381</v>
      </c>
      <c r="Z7" s="29">
        <v>4.93</v>
      </c>
      <c r="AA7" s="29">
        <v>-5.87</v>
      </c>
      <c r="AB7" s="29">
        <v>-34.700000000000003</v>
      </c>
      <c r="AC7" s="27">
        <v>8.6999999999999993</v>
      </c>
      <c r="AD7" s="27">
        <v>11.1</v>
      </c>
      <c r="AE7" s="30" t="s">
        <v>105</v>
      </c>
      <c r="AF7" s="31">
        <v>0.70698300000000003</v>
      </c>
      <c r="AG7" s="31">
        <v>9.0000000000000002E-6</v>
      </c>
      <c r="AH7" s="50"/>
      <c r="AI7" s="51">
        <v>0.08</v>
      </c>
      <c r="AJ7" s="52">
        <v>1.1000000000000001</v>
      </c>
      <c r="AK7" s="53">
        <v>3.38</v>
      </c>
      <c r="AL7" s="53" t="s">
        <v>115</v>
      </c>
      <c r="AM7" s="24"/>
      <c r="AN7" s="24"/>
      <c r="AO7" s="60" t="s">
        <v>52</v>
      </c>
    </row>
    <row r="8" spans="1:41" x14ac:dyDescent="0.25">
      <c r="A8" s="26" t="s">
        <v>29</v>
      </c>
      <c r="B8" s="24" t="s">
        <v>89</v>
      </c>
      <c r="C8" s="26" t="s">
        <v>99</v>
      </c>
      <c r="D8" s="23" t="s">
        <v>30</v>
      </c>
      <c r="E8" s="49">
        <v>477596</v>
      </c>
      <c r="F8" s="54">
        <v>241430</v>
      </c>
      <c r="G8" s="54"/>
      <c r="H8" s="54"/>
      <c r="I8" s="124" t="s">
        <v>148</v>
      </c>
      <c r="J8" s="27">
        <v>26.1</v>
      </c>
      <c r="K8" s="28">
        <v>642</v>
      </c>
      <c r="L8" s="29">
        <v>11.42</v>
      </c>
      <c r="M8" s="28">
        <v>-740</v>
      </c>
      <c r="N8" s="27">
        <v>29.5</v>
      </c>
      <c r="O8" s="27">
        <v>3.2</v>
      </c>
      <c r="P8" s="27">
        <v>28.2</v>
      </c>
      <c r="Q8" s="29">
        <v>0.2</v>
      </c>
      <c r="R8" s="23" t="s">
        <v>24</v>
      </c>
      <c r="S8" s="28">
        <v>11</v>
      </c>
      <c r="T8" s="27">
        <v>11.4</v>
      </c>
      <c r="U8" s="23" t="s">
        <v>131</v>
      </c>
      <c r="V8" s="23" t="s">
        <v>131</v>
      </c>
      <c r="W8" s="27">
        <v>35</v>
      </c>
      <c r="X8" s="23" t="s">
        <v>131</v>
      </c>
      <c r="Y8" s="28">
        <v>83</v>
      </c>
      <c r="Z8" s="29">
        <v>1.51</v>
      </c>
      <c r="AA8" s="29">
        <v>-5.26</v>
      </c>
      <c r="AB8" s="29">
        <v>-26.35</v>
      </c>
      <c r="AC8" s="30" t="s">
        <v>105</v>
      </c>
      <c r="AD8" s="30" t="s">
        <v>105</v>
      </c>
      <c r="AE8" s="30" t="s">
        <v>105</v>
      </c>
      <c r="AF8" s="31">
        <v>0.70378600000000002</v>
      </c>
      <c r="AG8" s="31">
        <v>6.9999999999999999E-6</v>
      </c>
      <c r="AH8" s="50"/>
      <c r="AI8" s="55">
        <v>0.35</v>
      </c>
      <c r="AJ8" s="56">
        <v>4.5</v>
      </c>
      <c r="AK8" s="57">
        <v>1.98</v>
      </c>
      <c r="AL8" s="53" t="s">
        <v>116</v>
      </c>
      <c r="AM8" s="24"/>
      <c r="AN8" s="24"/>
      <c r="AO8" s="24" t="s">
        <v>89</v>
      </c>
    </row>
    <row r="9" spans="1:41" x14ac:dyDescent="0.25">
      <c r="A9" s="26" t="s">
        <v>31</v>
      </c>
      <c r="B9" s="24" t="s">
        <v>90</v>
      </c>
      <c r="C9" s="26" t="s">
        <v>100</v>
      </c>
      <c r="D9" s="23" t="s">
        <v>32</v>
      </c>
      <c r="E9" s="54">
        <v>476419</v>
      </c>
      <c r="F9" s="49">
        <v>236423</v>
      </c>
      <c r="G9" s="49"/>
      <c r="H9" s="49"/>
      <c r="I9" s="124" t="s">
        <v>148</v>
      </c>
      <c r="J9" s="27">
        <v>25.1</v>
      </c>
      <c r="K9" s="28">
        <v>446</v>
      </c>
      <c r="L9" s="29">
        <v>11.29</v>
      </c>
      <c r="M9" s="28">
        <v>-523</v>
      </c>
      <c r="N9" s="27">
        <v>15.8</v>
      </c>
      <c r="O9" s="27">
        <v>0.7</v>
      </c>
      <c r="P9" s="27">
        <v>26.8</v>
      </c>
      <c r="Q9" s="29">
        <v>0.19</v>
      </c>
      <c r="R9" s="23" t="s">
        <v>24</v>
      </c>
      <c r="S9" s="28">
        <v>12</v>
      </c>
      <c r="T9" s="27">
        <v>10.5</v>
      </c>
      <c r="U9" s="27">
        <v>0.7</v>
      </c>
      <c r="V9" s="23" t="s">
        <v>131</v>
      </c>
      <c r="W9" s="27">
        <v>22</v>
      </c>
      <c r="X9" s="27">
        <v>5.9</v>
      </c>
      <c r="Y9" s="28">
        <v>72</v>
      </c>
      <c r="Z9" s="29">
        <v>2.63</v>
      </c>
      <c r="AA9" s="29">
        <v>-4.7300000000000004</v>
      </c>
      <c r="AB9" s="29">
        <v>-24.63</v>
      </c>
      <c r="AC9" s="30" t="s">
        <v>105</v>
      </c>
      <c r="AD9" s="30" t="s">
        <v>105</v>
      </c>
      <c r="AE9" s="30" t="s">
        <v>105</v>
      </c>
      <c r="AF9" s="31">
        <v>0.70344399999999996</v>
      </c>
      <c r="AG9" s="31">
        <v>7.9999999999999996E-6</v>
      </c>
      <c r="AH9" s="50"/>
      <c r="AI9" s="51">
        <v>0.01</v>
      </c>
      <c r="AJ9" s="52">
        <v>0.2</v>
      </c>
      <c r="AK9" s="53">
        <v>1.41</v>
      </c>
      <c r="AL9" s="53" t="s">
        <v>116</v>
      </c>
      <c r="AM9" s="24"/>
      <c r="AN9" s="24"/>
      <c r="AO9" s="24" t="s">
        <v>90</v>
      </c>
    </row>
    <row r="10" spans="1:41" x14ac:dyDescent="0.25">
      <c r="A10" s="26" t="s">
        <v>33</v>
      </c>
      <c r="B10" s="26" t="s">
        <v>91</v>
      </c>
      <c r="C10" s="26" t="s">
        <v>101</v>
      </c>
      <c r="D10" s="23" t="s">
        <v>34</v>
      </c>
      <c r="E10" s="54">
        <v>484358</v>
      </c>
      <c r="F10" s="54">
        <v>233406</v>
      </c>
      <c r="G10" s="54"/>
      <c r="H10" s="54"/>
      <c r="I10" s="124" t="s">
        <v>148</v>
      </c>
      <c r="J10" s="27">
        <v>24</v>
      </c>
      <c r="K10" s="28">
        <v>1464</v>
      </c>
      <c r="L10" s="29">
        <v>11.83</v>
      </c>
      <c r="M10" s="28">
        <v>-550</v>
      </c>
      <c r="N10" s="27">
        <v>96.7</v>
      </c>
      <c r="O10" s="27">
        <v>3.6</v>
      </c>
      <c r="P10" s="27">
        <v>45.3</v>
      </c>
      <c r="Q10" s="29">
        <v>0.18</v>
      </c>
      <c r="R10" s="23" t="s">
        <v>24</v>
      </c>
      <c r="S10" s="28">
        <v>17</v>
      </c>
      <c r="T10" s="27">
        <v>34.5</v>
      </c>
      <c r="U10" s="23" t="s">
        <v>131</v>
      </c>
      <c r="V10" s="23" t="s">
        <v>131</v>
      </c>
      <c r="W10" s="27">
        <v>81.8</v>
      </c>
      <c r="X10" s="27">
        <v>2</v>
      </c>
      <c r="Y10" s="28">
        <v>199</v>
      </c>
      <c r="Z10" s="29">
        <v>3.44</v>
      </c>
      <c r="AA10" s="29">
        <v>-4.46</v>
      </c>
      <c r="AB10" s="29">
        <v>-21.42</v>
      </c>
      <c r="AC10" s="30" t="s">
        <v>105</v>
      </c>
      <c r="AD10" s="30" t="s">
        <v>105</v>
      </c>
      <c r="AE10" s="30" t="s">
        <v>105</v>
      </c>
      <c r="AF10" s="31">
        <v>0.70377400000000001</v>
      </c>
      <c r="AG10" s="31">
        <v>7.9999999999999996E-6</v>
      </c>
      <c r="AH10" s="50"/>
      <c r="AI10" s="51">
        <v>0.75</v>
      </c>
      <c r="AJ10" s="52">
        <v>9.1</v>
      </c>
      <c r="AK10" s="53">
        <v>4.6500000000000004</v>
      </c>
      <c r="AL10" s="53" t="s">
        <v>116</v>
      </c>
      <c r="AM10" s="24"/>
      <c r="AN10" s="24"/>
      <c r="AO10" s="26" t="s">
        <v>91</v>
      </c>
    </row>
    <row r="11" spans="1:41" x14ac:dyDescent="0.25">
      <c r="A11" s="26" t="s">
        <v>35</v>
      </c>
      <c r="B11" s="24" t="s">
        <v>93</v>
      </c>
      <c r="C11" s="26" t="s">
        <v>36</v>
      </c>
      <c r="D11" s="23" t="s">
        <v>37</v>
      </c>
      <c r="E11" s="54">
        <v>486642</v>
      </c>
      <c r="F11" s="54">
        <v>210699</v>
      </c>
      <c r="G11" s="54"/>
      <c r="H11" s="54"/>
      <c r="I11" s="124" t="s">
        <v>148</v>
      </c>
      <c r="J11" s="27">
        <v>39.4</v>
      </c>
      <c r="K11" s="28">
        <v>447</v>
      </c>
      <c r="L11" s="29">
        <v>10.73</v>
      </c>
      <c r="M11" s="28">
        <v>-730</v>
      </c>
      <c r="N11" s="27">
        <v>27.8</v>
      </c>
      <c r="O11" s="27">
        <v>3.2</v>
      </c>
      <c r="P11" s="27">
        <v>19.2</v>
      </c>
      <c r="Q11" s="29">
        <v>0.24</v>
      </c>
      <c r="R11" s="23" t="s">
        <v>24</v>
      </c>
      <c r="S11" s="23" t="s">
        <v>24</v>
      </c>
      <c r="T11" s="27">
        <v>23.2</v>
      </c>
      <c r="U11" s="23" t="s">
        <v>131</v>
      </c>
      <c r="V11" s="23" t="s">
        <v>131</v>
      </c>
      <c r="W11" s="27">
        <v>26</v>
      </c>
      <c r="X11" s="27">
        <v>0.5</v>
      </c>
      <c r="Y11" s="28">
        <v>74</v>
      </c>
      <c r="Z11" s="29">
        <v>3.82</v>
      </c>
      <c r="AA11" s="29">
        <v>-4.5</v>
      </c>
      <c r="AB11" s="29">
        <v>-24.09</v>
      </c>
      <c r="AC11" s="30" t="s">
        <v>105</v>
      </c>
      <c r="AD11" s="30" t="s">
        <v>105</v>
      </c>
      <c r="AE11" s="30" t="s">
        <v>105</v>
      </c>
      <c r="AF11" s="31">
        <v>0.70432600000000001</v>
      </c>
      <c r="AG11" s="31">
        <v>6.9999999999999999E-6</v>
      </c>
      <c r="AH11" s="50">
        <v>8.1999999999999993</v>
      </c>
      <c r="AI11" s="51">
        <v>0.04</v>
      </c>
      <c r="AJ11" s="52">
        <v>0.5</v>
      </c>
      <c r="AK11" s="53">
        <v>1.3</v>
      </c>
      <c r="AL11" s="57" t="s">
        <v>115</v>
      </c>
      <c r="AM11" s="24"/>
      <c r="AN11" s="24"/>
      <c r="AO11" s="24" t="s">
        <v>126</v>
      </c>
    </row>
    <row r="12" spans="1:41" x14ac:dyDescent="0.25">
      <c r="A12" s="26" t="s">
        <v>38</v>
      </c>
      <c r="B12" s="24" t="s">
        <v>92</v>
      </c>
      <c r="C12" s="26" t="s">
        <v>102</v>
      </c>
      <c r="D12" s="23" t="s">
        <v>39</v>
      </c>
      <c r="E12" s="54">
        <v>488800</v>
      </c>
      <c r="F12" s="54">
        <v>211242</v>
      </c>
      <c r="G12" s="54"/>
      <c r="H12" s="54"/>
      <c r="I12" s="124" t="s">
        <v>148</v>
      </c>
      <c r="J12" s="27">
        <v>31.2</v>
      </c>
      <c r="K12" s="28">
        <v>367</v>
      </c>
      <c r="L12" s="29">
        <v>10.95</v>
      </c>
      <c r="M12" s="28">
        <v>-470</v>
      </c>
      <c r="N12" s="27">
        <v>13.4</v>
      </c>
      <c r="O12" s="27">
        <v>1.5</v>
      </c>
      <c r="P12" s="27">
        <v>22.5</v>
      </c>
      <c r="Q12" s="29">
        <v>0.22</v>
      </c>
      <c r="R12" s="23" t="s">
        <v>24</v>
      </c>
      <c r="S12" s="28">
        <v>13</v>
      </c>
      <c r="T12" s="27">
        <v>10.9</v>
      </c>
      <c r="U12" s="23" t="s">
        <v>131</v>
      </c>
      <c r="V12" s="23" t="s">
        <v>131</v>
      </c>
      <c r="W12" s="27">
        <v>17</v>
      </c>
      <c r="X12" s="27">
        <v>3.9</v>
      </c>
      <c r="Y12" s="28">
        <v>65</v>
      </c>
      <c r="Z12" s="29">
        <v>1.22</v>
      </c>
      <c r="AA12" s="29">
        <v>-4.22</v>
      </c>
      <c r="AB12" s="29">
        <v>-21.62</v>
      </c>
      <c r="AC12" s="30" t="s">
        <v>105</v>
      </c>
      <c r="AD12" s="30" t="s">
        <v>105</v>
      </c>
      <c r="AE12" s="30" t="s">
        <v>105</v>
      </c>
      <c r="AF12" s="31">
        <v>0.70350699999999999</v>
      </c>
      <c r="AG12" s="31">
        <v>6.0000000000000002E-6</v>
      </c>
      <c r="AH12" s="50"/>
      <c r="AI12" s="51">
        <v>0.79</v>
      </c>
      <c r="AJ12" s="52">
        <v>11</v>
      </c>
      <c r="AK12" s="53">
        <v>1.17</v>
      </c>
      <c r="AL12" s="53" t="s">
        <v>116</v>
      </c>
      <c r="AM12" s="24"/>
      <c r="AN12" s="24"/>
      <c r="AO12" s="24" t="s">
        <v>127</v>
      </c>
    </row>
    <row r="13" spans="1:41" x14ac:dyDescent="0.25">
      <c r="A13" s="26" t="s">
        <v>40</v>
      </c>
      <c r="B13" s="22" t="s">
        <v>94</v>
      </c>
      <c r="C13" s="26" t="s">
        <v>103</v>
      </c>
      <c r="D13" s="23" t="s">
        <v>41</v>
      </c>
      <c r="E13" s="54">
        <v>464562</v>
      </c>
      <c r="F13" s="54">
        <v>219535</v>
      </c>
      <c r="G13" s="54"/>
      <c r="H13" s="54"/>
      <c r="I13" s="124" t="s">
        <v>148</v>
      </c>
      <c r="J13" s="27">
        <v>24</v>
      </c>
      <c r="K13" s="28">
        <v>394</v>
      </c>
      <c r="L13" s="29">
        <v>11.17</v>
      </c>
      <c r="M13" s="28">
        <v>-320</v>
      </c>
      <c r="N13" s="27">
        <v>22.7</v>
      </c>
      <c r="O13" s="27">
        <v>3.8</v>
      </c>
      <c r="P13" s="27">
        <v>13.4</v>
      </c>
      <c r="Q13" s="29">
        <v>0.3</v>
      </c>
      <c r="R13" s="23" t="s">
        <v>24</v>
      </c>
      <c r="S13" s="28">
        <v>20</v>
      </c>
      <c r="T13" s="27">
        <v>9.6999999999999993</v>
      </c>
      <c r="U13" s="23" t="s">
        <v>131</v>
      </c>
      <c r="V13" s="23" t="s">
        <v>131</v>
      </c>
      <c r="W13" s="27">
        <v>15</v>
      </c>
      <c r="X13" s="27">
        <v>1.6</v>
      </c>
      <c r="Y13" s="28">
        <v>71</v>
      </c>
      <c r="Z13" s="29">
        <v>-2.48</v>
      </c>
      <c r="AA13" s="29">
        <v>-5.2</v>
      </c>
      <c r="AB13" s="29">
        <v>-28.87</v>
      </c>
      <c r="AC13" s="30" t="s">
        <v>105</v>
      </c>
      <c r="AD13" s="30" t="s">
        <v>105</v>
      </c>
      <c r="AE13" s="30" t="s">
        <v>105</v>
      </c>
      <c r="AF13" s="31">
        <v>0.70346200000000003</v>
      </c>
      <c r="AG13" s="31">
        <v>6.0000000000000002E-6</v>
      </c>
      <c r="AH13" s="50"/>
      <c r="AI13" s="51">
        <v>1.6</v>
      </c>
      <c r="AJ13" s="52">
        <v>19</v>
      </c>
      <c r="AK13" s="53">
        <v>1.22</v>
      </c>
      <c r="AL13" s="53" t="s">
        <v>116</v>
      </c>
      <c r="AM13" s="24"/>
      <c r="AN13" s="24"/>
      <c r="AO13" s="24" t="s">
        <v>128</v>
      </c>
    </row>
    <row r="14" spans="1:41" x14ac:dyDescent="0.25">
      <c r="E14" s="33"/>
      <c r="F14" s="34"/>
      <c r="G14" s="34"/>
      <c r="H14" s="34"/>
      <c r="I14" s="34"/>
      <c r="AA14" s="1"/>
      <c r="AB14" s="1"/>
      <c r="AC14" s="1"/>
      <c r="AD14" s="1"/>
      <c r="AE14" s="1"/>
      <c r="AF14" s="1"/>
      <c r="AG14" s="1"/>
      <c r="AH14" s="41"/>
      <c r="AI14" s="38"/>
      <c r="AJ14" s="39"/>
      <c r="AK14" s="37"/>
      <c r="AL14" s="40"/>
    </row>
    <row r="15" spans="1:41" x14ac:dyDescent="0.25">
      <c r="E15" s="33"/>
      <c r="F15" s="34"/>
      <c r="G15" s="34"/>
      <c r="H15" s="34"/>
      <c r="I15" s="34"/>
      <c r="AH15" s="33"/>
      <c r="AI15" s="32"/>
      <c r="AJ15" s="39"/>
      <c r="AK15" s="37"/>
      <c r="AL15" s="32"/>
    </row>
    <row r="16" spans="1:41" x14ac:dyDescent="0.25">
      <c r="E16" s="33"/>
      <c r="F16" s="34"/>
      <c r="G16" s="34"/>
      <c r="H16" s="34"/>
      <c r="I16" s="34"/>
      <c r="AH16" s="33"/>
      <c r="AI16" s="32"/>
      <c r="AJ16" s="39"/>
      <c r="AK16" s="37"/>
      <c r="AL16" s="42"/>
    </row>
    <row r="17" spans="5:38" x14ac:dyDescent="0.25">
      <c r="E17" s="33"/>
      <c r="F17" s="34"/>
      <c r="G17" s="34"/>
      <c r="H17" s="34"/>
      <c r="I17" s="34"/>
      <c r="AH17" s="33"/>
      <c r="AI17" s="32"/>
      <c r="AJ17" s="39"/>
      <c r="AK17" s="37"/>
      <c r="AL17" s="42"/>
    </row>
    <row r="18" spans="5:38" x14ac:dyDescent="0.25">
      <c r="E18" s="33"/>
      <c r="F18" s="34"/>
      <c r="G18" s="34"/>
      <c r="H18" s="34"/>
      <c r="I18" s="34"/>
      <c r="AH18" s="33"/>
      <c r="AI18" s="32"/>
      <c r="AK18" s="37"/>
      <c r="AL18" s="42"/>
    </row>
    <row r="19" spans="5:38" x14ac:dyDescent="0.25">
      <c r="E19" s="33"/>
      <c r="F19" s="34"/>
      <c r="G19" s="34"/>
      <c r="H19" s="34"/>
      <c r="I19" s="34"/>
      <c r="AH19" s="33"/>
      <c r="AI19" s="32"/>
      <c r="AJ19" s="43"/>
      <c r="AK19" s="37"/>
      <c r="AL19" s="32"/>
    </row>
    <row r="20" spans="5:38" x14ac:dyDescent="0.25">
      <c r="F20" s="34"/>
      <c r="G20" s="34"/>
      <c r="H20" s="34"/>
      <c r="I20" s="34"/>
      <c r="AH20" s="33"/>
      <c r="AL20" s="32"/>
    </row>
    <row r="21" spans="5:38" x14ac:dyDescent="0.25">
      <c r="AH21" s="33"/>
      <c r="AL21" s="32"/>
    </row>
    <row r="22" spans="5:38" x14ac:dyDescent="0.25">
      <c r="AL22" s="32"/>
    </row>
    <row r="23" spans="5:38" x14ac:dyDescent="0.25">
      <c r="AL23" s="32"/>
    </row>
    <row r="24" spans="5:38" x14ac:dyDescent="0.25">
      <c r="AL24" s="32"/>
    </row>
    <row r="25" spans="5:38" x14ac:dyDescent="0.25">
      <c r="AL25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45D5B-D836-426A-8185-5ACEA90BCDB8}">
  <dimension ref="A1:AN25"/>
  <sheetViews>
    <sheetView topLeftCell="D1" workbookViewId="0">
      <selection activeCell="S9" sqref="S9"/>
    </sheetView>
  </sheetViews>
  <sheetFormatPr defaultRowHeight="15" x14ac:dyDescent="0.25"/>
  <cols>
    <col min="1" max="1" width="23.85546875" customWidth="1"/>
    <col min="2" max="2" width="18.85546875" customWidth="1"/>
    <col min="3" max="3" width="6.140625" customWidth="1"/>
    <col min="4" max="4" width="16.7109375" customWidth="1"/>
    <col min="5" max="5" width="8.85546875" style="35"/>
    <col min="6" max="6" width="8.85546875" style="36"/>
    <col min="7" max="8" width="15.28515625" style="36" customWidth="1"/>
    <col min="9" max="12" width="7.42578125" customWidth="1"/>
    <col min="13" max="25" width="7" customWidth="1"/>
    <col min="26" max="32" width="11.28515625" customWidth="1"/>
    <col min="33" max="33" width="8.85546875" style="42"/>
    <col min="34" max="34" width="8.85546875"/>
    <col min="35" max="35" width="11.85546875" bestFit="1" customWidth="1"/>
    <col min="36" max="36" width="6.7109375" style="44" customWidth="1"/>
    <col min="37" max="37" width="6.7109375" customWidth="1"/>
    <col min="38" max="39" width="19.140625" customWidth="1"/>
    <col min="40" max="40" width="16" customWidth="1"/>
  </cols>
  <sheetData>
    <row r="1" spans="1:40" s="20" customFormat="1" x14ac:dyDescent="0.25">
      <c r="A1" s="25" t="s">
        <v>0</v>
      </c>
      <c r="B1" s="25" t="s">
        <v>67</v>
      </c>
      <c r="C1" s="25" t="s">
        <v>66</v>
      </c>
      <c r="D1" s="25" t="s">
        <v>1</v>
      </c>
      <c r="E1" s="45" t="s">
        <v>106</v>
      </c>
      <c r="F1" s="45" t="s">
        <v>107</v>
      </c>
      <c r="G1" s="45" t="s">
        <v>121</v>
      </c>
      <c r="H1" s="45" t="s">
        <v>122</v>
      </c>
      <c r="I1" s="25" t="s">
        <v>71</v>
      </c>
      <c r="J1" s="25" t="s">
        <v>70</v>
      </c>
      <c r="K1" s="25" t="s">
        <v>4</v>
      </c>
      <c r="L1" s="25" t="s">
        <v>69</v>
      </c>
      <c r="M1" s="25" t="s">
        <v>84</v>
      </c>
      <c r="N1" s="46" t="s">
        <v>83</v>
      </c>
      <c r="O1" s="46" t="s">
        <v>82</v>
      </c>
      <c r="P1" s="46" t="s">
        <v>81</v>
      </c>
      <c r="Q1" s="25" t="s">
        <v>80</v>
      </c>
      <c r="R1" s="25" t="s">
        <v>79</v>
      </c>
      <c r="S1" s="46" t="s">
        <v>78</v>
      </c>
      <c r="T1" s="25" t="s">
        <v>77</v>
      </c>
      <c r="U1" s="25" t="s">
        <v>76</v>
      </c>
      <c r="V1" s="46" t="s">
        <v>75</v>
      </c>
      <c r="W1" s="25" t="s">
        <v>74</v>
      </c>
      <c r="X1" s="46" t="s">
        <v>73</v>
      </c>
      <c r="Y1" s="25" t="s">
        <v>72</v>
      </c>
      <c r="Z1" s="47" t="s">
        <v>45</v>
      </c>
      <c r="AA1" s="47" t="s">
        <v>46</v>
      </c>
      <c r="AB1" s="47" t="s">
        <v>47</v>
      </c>
      <c r="AC1" s="47" t="s">
        <v>48</v>
      </c>
      <c r="AD1" s="47" t="s">
        <v>49</v>
      </c>
      <c r="AE1" s="47" t="s">
        <v>50</v>
      </c>
      <c r="AF1" s="47" t="s">
        <v>51</v>
      </c>
      <c r="AG1" s="48" t="s">
        <v>108</v>
      </c>
      <c r="AH1" s="48" t="s">
        <v>109</v>
      </c>
      <c r="AI1" s="48" t="s">
        <v>110</v>
      </c>
      <c r="AJ1" s="48" t="s">
        <v>111</v>
      </c>
      <c r="AK1" s="48" t="s">
        <v>112</v>
      </c>
      <c r="AL1" s="48" t="s">
        <v>113</v>
      </c>
      <c r="AM1" s="48" t="s">
        <v>114</v>
      </c>
      <c r="AN1" s="59" t="s">
        <v>129</v>
      </c>
    </row>
    <row r="2" spans="1:40" x14ac:dyDescent="0.25">
      <c r="A2" s="26" t="s">
        <v>87</v>
      </c>
      <c r="B2" s="22" t="s">
        <v>64</v>
      </c>
      <c r="C2" s="26" t="s">
        <v>65</v>
      </c>
      <c r="D2" s="23" t="s">
        <v>19</v>
      </c>
      <c r="E2" s="49">
        <v>388554</v>
      </c>
      <c r="F2" s="49">
        <v>296066</v>
      </c>
      <c r="G2" s="49"/>
      <c r="H2" s="49"/>
      <c r="I2" s="27">
        <v>42.5</v>
      </c>
      <c r="J2" s="28">
        <v>233</v>
      </c>
      <c r="K2" s="29">
        <v>9.18</v>
      </c>
      <c r="L2" s="28">
        <v>-440</v>
      </c>
      <c r="M2" s="27">
        <v>49.3</v>
      </c>
      <c r="N2" s="27">
        <v>1.2</v>
      </c>
      <c r="O2" s="27">
        <v>1.6</v>
      </c>
      <c r="P2" s="29">
        <v>0.18</v>
      </c>
      <c r="Q2" s="28">
        <v>53</v>
      </c>
      <c r="R2" s="28">
        <v>23</v>
      </c>
      <c r="S2" s="27">
        <v>8.9</v>
      </c>
      <c r="T2" s="27">
        <v>16.100000000000001</v>
      </c>
      <c r="U2" s="23">
        <v>0.5</v>
      </c>
      <c r="V2" s="30" t="s">
        <v>105</v>
      </c>
      <c r="W2" s="27">
        <v>54.9</v>
      </c>
      <c r="X2" s="28">
        <v>211</v>
      </c>
      <c r="Y2" s="29">
        <v>2.15</v>
      </c>
      <c r="Z2" s="29">
        <v>-5.6</v>
      </c>
      <c r="AA2" s="29">
        <v>-30.84</v>
      </c>
      <c r="AB2" s="27">
        <v>11.2</v>
      </c>
      <c r="AC2" s="27">
        <v>7.5</v>
      </c>
      <c r="AD2" s="27">
        <v>9.1999999999999993</v>
      </c>
      <c r="AE2" s="23">
        <v>0.70588799999999996</v>
      </c>
      <c r="AF2" s="31">
        <v>7.9999999999999996E-6</v>
      </c>
      <c r="AG2" s="50"/>
      <c r="AH2" s="51">
        <v>0.01</v>
      </c>
      <c r="AI2" s="52">
        <v>0.1</v>
      </c>
      <c r="AJ2" s="53">
        <v>1.61</v>
      </c>
      <c r="AK2" s="53" t="s">
        <v>115</v>
      </c>
      <c r="AL2" s="24"/>
      <c r="AM2" s="24"/>
      <c r="AN2" s="24" t="s">
        <v>123</v>
      </c>
    </row>
    <row r="3" spans="1:40" x14ac:dyDescent="0.25">
      <c r="A3" s="26" t="s">
        <v>20</v>
      </c>
      <c r="B3" s="24" t="s">
        <v>85</v>
      </c>
      <c r="C3" s="24" t="s">
        <v>95</v>
      </c>
      <c r="D3" s="23" t="s">
        <v>21</v>
      </c>
      <c r="E3" s="54">
        <v>395711</v>
      </c>
      <c r="F3" s="54">
        <v>296565</v>
      </c>
      <c r="G3" s="54"/>
      <c r="H3" s="54"/>
      <c r="I3" s="27">
        <v>27</v>
      </c>
      <c r="J3" s="28">
        <v>346</v>
      </c>
      <c r="K3" s="29">
        <v>9.3800000000000008</v>
      </c>
      <c r="L3" s="28">
        <v>-395</v>
      </c>
      <c r="M3" s="27">
        <v>76.599999999999994</v>
      </c>
      <c r="N3" s="27">
        <v>1.9</v>
      </c>
      <c r="O3" s="27">
        <v>0.9</v>
      </c>
      <c r="P3" s="29">
        <v>0.36</v>
      </c>
      <c r="Q3" s="28">
        <v>69</v>
      </c>
      <c r="R3" s="28">
        <v>42</v>
      </c>
      <c r="S3" s="27">
        <v>15.4</v>
      </c>
      <c r="T3" s="27">
        <v>19.7</v>
      </c>
      <c r="U3" s="23">
        <v>0.5</v>
      </c>
      <c r="V3" s="30" t="s">
        <v>105</v>
      </c>
      <c r="W3" s="27">
        <v>61.3</v>
      </c>
      <c r="X3" s="28">
        <v>293</v>
      </c>
      <c r="Y3" s="29">
        <v>2.34</v>
      </c>
      <c r="Z3" s="29">
        <v>-5.07</v>
      </c>
      <c r="AA3" s="29">
        <v>-30.18</v>
      </c>
      <c r="AB3" s="30" t="s">
        <v>105</v>
      </c>
      <c r="AC3" s="30" t="s">
        <v>105</v>
      </c>
      <c r="AD3" s="30" t="s">
        <v>105</v>
      </c>
      <c r="AE3" s="30" t="s">
        <v>105</v>
      </c>
      <c r="AF3" s="30" t="s">
        <v>105</v>
      </c>
      <c r="AG3" s="50"/>
      <c r="AH3" s="51">
        <v>0.01</v>
      </c>
      <c r="AI3" s="52">
        <v>0.1</v>
      </c>
      <c r="AJ3" s="53">
        <v>2.13</v>
      </c>
      <c r="AK3" s="53" t="s">
        <v>115</v>
      </c>
      <c r="AL3" s="24"/>
      <c r="AM3" s="24"/>
      <c r="AN3" s="60" t="s">
        <v>124</v>
      </c>
    </row>
    <row r="4" spans="1:40" x14ac:dyDescent="0.25">
      <c r="A4" s="26" t="s">
        <v>22</v>
      </c>
      <c r="B4" s="26" t="s">
        <v>86</v>
      </c>
      <c r="C4" s="26" t="s">
        <v>96</v>
      </c>
      <c r="D4" s="23" t="s">
        <v>23</v>
      </c>
      <c r="E4" s="54">
        <v>401739</v>
      </c>
      <c r="F4" s="54">
        <v>290619</v>
      </c>
      <c r="G4" s="54"/>
      <c r="H4" s="54"/>
      <c r="I4" s="27">
        <v>25.3</v>
      </c>
      <c r="J4" s="28">
        <v>399</v>
      </c>
      <c r="K4" s="29">
        <v>7.92</v>
      </c>
      <c r="L4" s="28">
        <v>-336</v>
      </c>
      <c r="M4" s="27">
        <v>75.099999999999994</v>
      </c>
      <c r="N4" s="27">
        <v>0.7</v>
      </c>
      <c r="O4" s="27">
        <v>14.2</v>
      </c>
      <c r="P4" s="27">
        <v>1.8</v>
      </c>
      <c r="Q4" s="28">
        <v>217</v>
      </c>
      <c r="R4" s="23">
        <v>10</v>
      </c>
      <c r="S4" s="27">
        <v>13.8</v>
      </c>
      <c r="T4" s="27">
        <v>6.3</v>
      </c>
      <c r="U4" s="23">
        <v>0.5</v>
      </c>
      <c r="V4" s="30" t="s">
        <v>105</v>
      </c>
      <c r="W4" s="27">
        <v>24.8</v>
      </c>
      <c r="X4" s="28">
        <v>358</v>
      </c>
      <c r="Y4" s="29">
        <v>1.57</v>
      </c>
      <c r="Z4" s="29">
        <v>-5.63</v>
      </c>
      <c r="AA4" s="29">
        <v>-33.200000000000003</v>
      </c>
      <c r="AB4" s="30" t="s">
        <v>105</v>
      </c>
      <c r="AC4" s="30" t="s">
        <v>105</v>
      </c>
      <c r="AD4" s="30" t="s">
        <v>105</v>
      </c>
      <c r="AE4" s="30" t="s">
        <v>105</v>
      </c>
      <c r="AF4" s="30" t="s">
        <v>105</v>
      </c>
      <c r="AG4" s="50">
        <v>6.1</v>
      </c>
      <c r="AH4" s="51">
        <v>0.05</v>
      </c>
      <c r="AI4" s="52">
        <v>0.6</v>
      </c>
      <c r="AJ4" s="53">
        <v>3.02</v>
      </c>
      <c r="AK4" s="53" t="s">
        <v>116</v>
      </c>
      <c r="AL4" s="24"/>
      <c r="AM4" s="24"/>
      <c r="AN4" s="26" t="s">
        <v>86</v>
      </c>
    </row>
    <row r="5" spans="1:40" x14ac:dyDescent="0.25">
      <c r="A5" s="26" t="s">
        <v>25</v>
      </c>
      <c r="B5" s="24" t="s">
        <v>130</v>
      </c>
      <c r="C5" s="26" t="s">
        <v>98</v>
      </c>
      <c r="D5" s="23" t="s">
        <v>26</v>
      </c>
      <c r="E5" s="54">
        <v>407110</v>
      </c>
      <c r="F5" s="54">
        <v>293287</v>
      </c>
      <c r="G5" s="54"/>
      <c r="H5" s="54"/>
      <c r="I5" s="27">
        <v>24.7</v>
      </c>
      <c r="J5" s="28">
        <v>652</v>
      </c>
      <c r="K5" s="29">
        <v>7.82</v>
      </c>
      <c r="L5" s="28">
        <v>-322</v>
      </c>
      <c r="M5" s="27">
        <v>69.099999999999994</v>
      </c>
      <c r="N5" s="27">
        <v>1.3</v>
      </c>
      <c r="O5" s="27">
        <v>4.8</v>
      </c>
      <c r="P5" s="27">
        <v>39.4</v>
      </c>
      <c r="Q5" s="28">
        <v>281</v>
      </c>
      <c r="R5" s="23">
        <v>10</v>
      </c>
      <c r="S5" s="27">
        <v>62.2</v>
      </c>
      <c r="T5" s="27">
        <v>5.7</v>
      </c>
      <c r="U5" s="23">
        <v>0.5</v>
      </c>
      <c r="V5" s="30" t="s">
        <v>105</v>
      </c>
      <c r="W5" s="27">
        <v>24.3</v>
      </c>
      <c r="X5" s="28">
        <v>492</v>
      </c>
      <c r="Y5" s="29">
        <v>0.65</v>
      </c>
      <c r="Z5" s="29">
        <v>-5.63</v>
      </c>
      <c r="AA5" s="29">
        <v>-36.159999999999997</v>
      </c>
      <c r="AB5" s="30" t="s">
        <v>105</v>
      </c>
      <c r="AC5" s="30" t="s">
        <v>105</v>
      </c>
      <c r="AD5" s="30" t="s">
        <v>105</v>
      </c>
      <c r="AE5" s="31">
        <v>0.70538000000000001</v>
      </c>
      <c r="AF5" s="31">
        <v>6.0000000000000002E-6</v>
      </c>
      <c r="AG5" s="50"/>
      <c r="AH5" s="51">
        <v>0.37</v>
      </c>
      <c r="AI5" s="52">
        <v>4.4000000000000004</v>
      </c>
      <c r="AJ5" s="53">
        <v>3.94</v>
      </c>
      <c r="AK5" s="53" t="s">
        <v>115</v>
      </c>
      <c r="AL5" s="24"/>
      <c r="AM5" s="24"/>
      <c r="AN5" s="24" t="s">
        <v>125</v>
      </c>
    </row>
    <row r="6" spans="1:40" x14ac:dyDescent="0.25">
      <c r="A6" s="26" t="s">
        <v>27</v>
      </c>
      <c r="B6" s="26" t="s">
        <v>88</v>
      </c>
      <c r="C6" s="26" t="s">
        <v>97</v>
      </c>
      <c r="D6" s="23" t="s">
        <v>28</v>
      </c>
      <c r="E6" s="49">
        <v>398660</v>
      </c>
      <c r="F6" s="54">
        <v>294913</v>
      </c>
      <c r="G6" s="54"/>
      <c r="H6" s="54"/>
      <c r="I6" s="27">
        <v>29.3</v>
      </c>
      <c r="J6" s="28">
        <v>257</v>
      </c>
      <c r="K6" s="29">
        <v>9.32</v>
      </c>
      <c r="L6" s="28">
        <v>-386</v>
      </c>
      <c r="M6" s="27">
        <v>56.6</v>
      </c>
      <c r="N6" s="27">
        <v>1.4</v>
      </c>
      <c r="O6" s="27">
        <v>1.5</v>
      </c>
      <c r="P6" s="29">
        <v>0.28000000000000003</v>
      </c>
      <c r="Q6" s="28">
        <v>97</v>
      </c>
      <c r="R6" s="28">
        <v>16</v>
      </c>
      <c r="S6" s="27">
        <v>7.5</v>
      </c>
      <c r="T6" s="27">
        <v>6.7</v>
      </c>
      <c r="U6" s="23">
        <v>0.5</v>
      </c>
      <c r="V6" s="30" t="s">
        <v>105</v>
      </c>
      <c r="W6" s="27">
        <v>38</v>
      </c>
      <c r="X6" s="28">
        <v>227</v>
      </c>
      <c r="Y6" s="29">
        <v>4.8</v>
      </c>
      <c r="Z6" s="29">
        <v>-5.47</v>
      </c>
      <c r="AA6" s="29">
        <v>-32.07</v>
      </c>
      <c r="AB6" s="27">
        <v>14.1</v>
      </c>
      <c r="AC6" s="27">
        <v>10.4</v>
      </c>
      <c r="AD6" s="30" t="s">
        <v>105</v>
      </c>
      <c r="AE6" s="31">
        <v>0.70784499999999995</v>
      </c>
      <c r="AF6" s="31">
        <v>7.9999999999999996E-6</v>
      </c>
      <c r="AG6" s="50"/>
      <c r="AH6" s="51">
        <v>0</v>
      </c>
      <c r="AI6" s="52">
        <v>0</v>
      </c>
      <c r="AJ6" s="53">
        <v>1.91</v>
      </c>
      <c r="AK6" s="53" t="s">
        <v>115</v>
      </c>
      <c r="AL6" s="24"/>
      <c r="AM6" s="24"/>
      <c r="AN6" s="26" t="s">
        <v>88</v>
      </c>
    </row>
    <row r="7" spans="1:40" x14ac:dyDescent="0.25">
      <c r="A7" s="26" t="s">
        <v>29</v>
      </c>
      <c r="B7" s="24" t="s">
        <v>89</v>
      </c>
      <c r="C7" s="26" t="s">
        <v>99</v>
      </c>
      <c r="D7" s="23" t="s">
        <v>30</v>
      </c>
      <c r="E7" s="49">
        <v>477596</v>
      </c>
      <c r="F7" s="54">
        <v>241430</v>
      </c>
      <c r="G7" s="54"/>
      <c r="H7" s="54"/>
      <c r="I7" s="27">
        <v>26.1</v>
      </c>
      <c r="J7" s="28">
        <v>642</v>
      </c>
      <c r="K7" s="29">
        <v>11.42</v>
      </c>
      <c r="L7" s="28">
        <v>-740</v>
      </c>
      <c r="M7" s="27">
        <v>29.5</v>
      </c>
      <c r="N7" s="27">
        <v>3.2</v>
      </c>
      <c r="O7" s="27">
        <v>28.2</v>
      </c>
      <c r="P7" s="29">
        <v>0.2</v>
      </c>
      <c r="Q7" s="23">
        <v>10</v>
      </c>
      <c r="R7" s="28">
        <v>11</v>
      </c>
      <c r="S7" s="27">
        <v>11.4</v>
      </c>
      <c r="T7" s="23">
        <v>0.5</v>
      </c>
      <c r="U7" s="23">
        <v>0.5</v>
      </c>
      <c r="V7" s="27">
        <v>35</v>
      </c>
      <c r="W7" s="23">
        <v>0.5</v>
      </c>
      <c r="X7" s="28">
        <v>83</v>
      </c>
      <c r="Y7" s="29">
        <v>1.51</v>
      </c>
      <c r="Z7" s="29">
        <v>-5.26</v>
      </c>
      <c r="AA7" s="29">
        <v>-26.35</v>
      </c>
      <c r="AB7" s="30" t="s">
        <v>105</v>
      </c>
      <c r="AC7" s="30" t="s">
        <v>105</v>
      </c>
      <c r="AD7" s="30" t="s">
        <v>105</v>
      </c>
      <c r="AE7" s="31">
        <v>0.70378600000000002</v>
      </c>
      <c r="AF7" s="31">
        <v>6.9999999999999999E-6</v>
      </c>
      <c r="AG7" s="50"/>
      <c r="AH7" s="55">
        <v>0.35</v>
      </c>
      <c r="AI7" s="56">
        <v>4.5</v>
      </c>
      <c r="AJ7" s="57">
        <v>1.98</v>
      </c>
      <c r="AK7" s="53" t="s">
        <v>116</v>
      </c>
      <c r="AL7" s="24"/>
      <c r="AM7" s="24"/>
      <c r="AN7" s="24" t="s">
        <v>89</v>
      </c>
    </row>
    <row r="8" spans="1:40" x14ac:dyDescent="0.25">
      <c r="A8" s="26" t="s">
        <v>31</v>
      </c>
      <c r="B8" s="24" t="s">
        <v>90</v>
      </c>
      <c r="C8" s="26" t="s">
        <v>100</v>
      </c>
      <c r="D8" s="23" t="s">
        <v>32</v>
      </c>
      <c r="E8" s="54">
        <v>476419</v>
      </c>
      <c r="F8" s="49">
        <v>236423</v>
      </c>
      <c r="G8" s="49"/>
      <c r="H8" s="49"/>
      <c r="I8" s="27">
        <v>25.1</v>
      </c>
      <c r="J8" s="28">
        <v>446</v>
      </c>
      <c r="K8" s="29">
        <v>11.29</v>
      </c>
      <c r="L8" s="28">
        <v>-523</v>
      </c>
      <c r="M8" s="27">
        <v>15.8</v>
      </c>
      <c r="N8" s="27">
        <v>0.7</v>
      </c>
      <c r="O8" s="27">
        <v>26.8</v>
      </c>
      <c r="P8" s="29">
        <v>0.19</v>
      </c>
      <c r="Q8" s="23">
        <v>10</v>
      </c>
      <c r="R8" s="28">
        <v>12</v>
      </c>
      <c r="S8" s="27">
        <v>10.5</v>
      </c>
      <c r="T8" s="27">
        <v>0.7</v>
      </c>
      <c r="U8" s="23">
        <v>0.5</v>
      </c>
      <c r="V8" s="27">
        <v>22</v>
      </c>
      <c r="W8" s="27">
        <v>5.9</v>
      </c>
      <c r="X8" s="28">
        <v>72</v>
      </c>
      <c r="Y8" s="29">
        <v>2.63</v>
      </c>
      <c r="Z8" s="29">
        <v>-4.7300000000000004</v>
      </c>
      <c r="AA8" s="29">
        <v>-24.63</v>
      </c>
      <c r="AB8" s="30" t="s">
        <v>105</v>
      </c>
      <c r="AC8" s="30" t="s">
        <v>105</v>
      </c>
      <c r="AD8" s="30" t="s">
        <v>105</v>
      </c>
      <c r="AE8" s="31">
        <v>0.70344399999999996</v>
      </c>
      <c r="AF8" s="31">
        <v>7.9999999999999996E-6</v>
      </c>
      <c r="AG8" s="50"/>
      <c r="AH8" s="51">
        <v>0.01</v>
      </c>
      <c r="AI8" s="52">
        <v>0.2</v>
      </c>
      <c r="AJ8" s="53">
        <v>1.41</v>
      </c>
      <c r="AK8" s="53" t="s">
        <v>116</v>
      </c>
      <c r="AL8" s="24"/>
      <c r="AM8" s="24"/>
      <c r="AN8" s="24" t="s">
        <v>90</v>
      </c>
    </row>
    <row r="9" spans="1:40" x14ac:dyDescent="0.25">
      <c r="A9" s="26" t="s">
        <v>33</v>
      </c>
      <c r="B9" s="26" t="s">
        <v>91</v>
      </c>
      <c r="C9" s="26" t="s">
        <v>101</v>
      </c>
      <c r="D9" s="23" t="s">
        <v>34</v>
      </c>
      <c r="E9" s="54">
        <v>484358</v>
      </c>
      <c r="F9" s="54">
        <v>233406</v>
      </c>
      <c r="G9" s="54"/>
      <c r="H9" s="54"/>
      <c r="I9" s="27">
        <v>24</v>
      </c>
      <c r="J9" s="28">
        <v>1464</v>
      </c>
      <c r="K9" s="29">
        <v>11.83</v>
      </c>
      <c r="L9" s="28">
        <v>-550</v>
      </c>
      <c r="M9" s="27">
        <v>96.7</v>
      </c>
      <c r="N9" s="27">
        <v>3.6</v>
      </c>
      <c r="O9" s="27">
        <v>45.3</v>
      </c>
      <c r="P9" s="29">
        <v>0.18</v>
      </c>
      <c r="Q9" s="23">
        <v>10</v>
      </c>
      <c r="R9" s="28">
        <v>17</v>
      </c>
      <c r="S9" s="27">
        <v>34.5</v>
      </c>
      <c r="T9" s="23">
        <v>0.5</v>
      </c>
      <c r="U9" s="23">
        <v>0.5</v>
      </c>
      <c r="V9" s="27">
        <v>81.8</v>
      </c>
      <c r="W9" s="27">
        <v>2</v>
      </c>
      <c r="X9" s="28">
        <v>199</v>
      </c>
      <c r="Y9" s="29">
        <v>3.44</v>
      </c>
      <c r="Z9" s="29">
        <v>-4.46</v>
      </c>
      <c r="AA9" s="29">
        <v>-21.42</v>
      </c>
      <c r="AB9" s="30" t="s">
        <v>105</v>
      </c>
      <c r="AC9" s="30" t="s">
        <v>105</v>
      </c>
      <c r="AD9" s="30" t="s">
        <v>105</v>
      </c>
      <c r="AE9" s="31">
        <v>0.70377400000000001</v>
      </c>
      <c r="AF9" s="31">
        <v>7.9999999999999996E-6</v>
      </c>
      <c r="AG9" s="50"/>
      <c r="AH9" s="51">
        <v>0.75</v>
      </c>
      <c r="AI9" s="52">
        <v>9.1</v>
      </c>
      <c r="AJ9" s="53">
        <v>4.6500000000000004</v>
      </c>
      <c r="AK9" s="53" t="s">
        <v>116</v>
      </c>
      <c r="AL9" s="24"/>
      <c r="AM9" s="24"/>
      <c r="AN9" s="26" t="s">
        <v>91</v>
      </c>
    </row>
    <row r="10" spans="1:40" x14ac:dyDescent="0.25">
      <c r="A10" s="26" t="s">
        <v>35</v>
      </c>
      <c r="B10" s="24" t="s">
        <v>93</v>
      </c>
      <c r="C10" s="26" t="s">
        <v>36</v>
      </c>
      <c r="D10" s="23" t="s">
        <v>37</v>
      </c>
      <c r="E10" s="54">
        <v>486642</v>
      </c>
      <c r="F10" s="54">
        <v>210699</v>
      </c>
      <c r="G10" s="54"/>
      <c r="H10" s="54"/>
      <c r="I10" s="27">
        <v>39.4</v>
      </c>
      <c r="J10" s="28">
        <v>447</v>
      </c>
      <c r="K10" s="29">
        <v>10.73</v>
      </c>
      <c r="L10" s="28">
        <v>-730</v>
      </c>
      <c r="M10" s="27">
        <v>27.8</v>
      </c>
      <c r="N10" s="27">
        <v>3.2</v>
      </c>
      <c r="O10" s="27">
        <v>19.2</v>
      </c>
      <c r="P10" s="29">
        <v>0.24</v>
      </c>
      <c r="Q10" s="23">
        <v>10</v>
      </c>
      <c r="R10" s="23">
        <v>10</v>
      </c>
      <c r="S10" s="27">
        <v>23.2</v>
      </c>
      <c r="T10" s="23">
        <v>0.5</v>
      </c>
      <c r="U10" s="23">
        <v>0.5</v>
      </c>
      <c r="V10" s="27">
        <v>26</v>
      </c>
      <c r="W10" s="27">
        <v>0.5</v>
      </c>
      <c r="X10" s="28">
        <v>74</v>
      </c>
      <c r="Y10" s="29">
        <v>3.82</v>
      </c>
      <c r="Z10" s="29">
        <v>-4.5</v>
      </c>
      <c r="AA10" s="29">
        <v>-24.09</v>
      </c>
      <c r="AB10" s="30" t="s">
        <v>105</v>
      </c>
      <c r="AC10" s="30" t="s">
        <v>105</v>
      </c>
      <c r="AD10" s="30" t="s">
        <v>105</v>
      </c>
      <c r="AE10" s="31">
        <v>0.70432600000000001</v>
      </c>
      <c r="AF10" s="31">
        <v>6.9999999999999999E-6</v>
      </c>
      <c r="AG10" s="50">
        <v>8.1999999999999993</v>
      </c>
      <c r="AH10" s="51">
        <v>0.04</v>
      </c>
      <c r="AI10" s="52">
        <v>0.5</v>
      </c>
      <c r="AJ10" s="53">
        <v>1.3</v>
      </c>
      <c r="AK10" s="57" t="s">
        <v>115</v>
      </c>
      <c r="AL10" s="24"/>
      <c r="AM10" s="24"/>
      <c r="AN10" s="24" t="s">
        <v>126</v>
      </c>
    </row>
    <row r="11" spans="1:40" x14ac:dyDescent="0.25">
      <c r="A11" s="26" t="s">
        <v>38</v>
      </c>
      <c r="B11" s="24" t="s">
        <v>92</v>
      </c>
      <c r="C11" s="26" t="s">
        <v>102</v>
      </c>
      <c r="D11" s="23" t="s">
        <v>39</v>
      </c>
      <c r="E11" s="54">
        <v>488800</v>
      </c>
      <c r="F11" s="54">
        <v>211242</v>
      </c>
      <c r="G11" s="54"/>
      <c r="H11" s="54"/>
      <c r="I11" s="27">
        <v>31.2</v>
      </c>
      <c r="J11" s="28">
        <v>367</v>
      </c>
      <c r="K11" s="29">
        <v>10.95</v>
      </c>
      <c r="L11" s="28">
        <v>-470</v>
      </c>
      <c r="M11" s="27">
        <v>13.4</v>
      </c>
      <c r="N11" s="27">
        <v>1.5</v>
      </c>
      <c r="O11" s="27">
        <v>22.5</v>
      </c>
      <c r="P11" s="29">
        <v>0.22</v>
      </c>
      <c r="Q11" s="23">
        <v>10</v>
      </c>
      <c r="R11" s="28">
        <v>13</v>
      </c>
      <c r="S11" s="27">
        <v>10.9</v>
      </c>
      <c r="T11" s="23">
        <v>0.5</v>
      </c>
      <c r="U11" s="23">
        <v>0.5</v>
      </c>
      <c r="V11" s="27">
        <v>17</v>
      </c>
      <c r="W11" s="27">
        <v>3.9</v>
      </c>
      <c r="X11" s="28">
        <v>65</v>
      </c>
      <c r="Y11" s="29">
        <v>1.22</v>
      </c>
      <c r="Z11" s="29">
        <v>-4.22</v>
      </c>
      <c r="AA11" s="29">
        <v>-21.62</v>
      </c>
      <c r="AB11" s="30" t="s">
        <v>105</v>
      </c>
      <c r="AC11" s="30" t="s">
        <v>105</v>
      </c>
      <c r="AD11" s="30" t="s">
        <v>105</v>
      </c>
      <c r="AE11" s="31">
        <v>0.70350699999999999</v>
      </c>
      <c r="AF11" s="31">
        <v>6.0000000000000002E-6</v>
      </c>
      <c r="AG11" s="50"/>
      <c r="AH11" s="51">
        <v>0.79</v>
      </c>
      <c r="AI11" s="52">
        <v>11</v>
      </c>
      <c r="AJ11" s="53">
        <v>1.17</v>
      </c>
      <c r="AK11" s="53" t="s">
        <v>116</v>
      </c>
      <c r="AL11" s="24"/>
      <c r="AM11" s="24"/>
      <c r="AN11" s="24" t="s">
        <v>127</v>
      </c>
    </row>
    <row r="12" spans="1:40" x14ac:dyDescent="0.25">
      <c r="A12" s="26" t="s">
        <v>40</v>
      </c>
      <c r="B12" s="22" t="s">
        <v>94</v>
      </c>
      <c r="C12" s="26" t="s">
        <v>103</v>
      </c>
      <c r="D12" s="23" t="s">
        <v>41</v>
      </c>
      <c r="E12" s="54">
        <v>464562</v>
      </c>
      <c r="F12" s="54">
        <v>219535</v>
      </c>
      <c r="G12" s="54"/>
      <c r="H12" s="54"/>
      <c r="I12" s="27">
        <v>24</v>
      </c>
      <c r="J12" s="28">
        <v>394</v>
      </c>
      <c r="K12" s="29">
        <v>11.17</v>
      </c>
      <c r="L12" s="28">
        <v>-320</v>
      </c>
      <c r="M12" s="27">
        <v>22.7</v>
      </c>
      <c r="N12" s="27">
        <v>3.8</v>
      </c>
      <c r="O12" s="27">
        <v>13.4</v>
      </c>
      <c r="P12" s="29">
        <v>0.3</v>
      </c>
      <c r="Q12" s="23">
        <v>10</v>
      </c>
      <c r="R12" s="28">
        <v>20</v>
      </c>
      <c r="S12" s="27">
        <v>9.6999999999999993</v>
      </c>
      <c r="T12" s="23">
        <v>0.5</v>
      </c>
      <c r="U12" s="23">
        <v>0.5</v>
      </c>
      <c r="V12" s="27">
        <v>15</v>
      </c>
      <c r="W12" s="27">
        <v>1.6</v>
      </c>
      <c r="X12" s="28">
        <v>71</v>
      </c>
      <c r="Y12" s="29">
        <v>-2.48</v>
      </c>
      <c r="Z12" s="29">
        <v>-5.2</v>
      </c>
      <c r="AA12" s="29">
        <v>-28.87</v>
      </c>
      <c r="AB12" s="30" t="s">
        <v>105</v>
      </c>
      <c r="AC12" s="30" t="s">
        <v>105</v>
      </c>
      <c r="AD12" s="30" t="s">
        <v>105</v>
      </c>
      <c r="AE12" s="31">
        <v>0.70346200000000003</v>
      </c>
      <c r="AF12" s="31">
        <v>6.0000000000000002E-6</v>
      </c>
      <c r="AG12" s="50"/>
      <c r="AH12" s="51">
        <v>1.6</v>
      </c>
      <c r="AI12" s="52">
        <v>19</v>
      </c>
      <c r="AJ12" s="53">
        <v>1.22</v>
      </c>
      <c r="AK12" s="53" t="s">
        <v>116</v>
      </c>
      <c r="AL12" s="24"/>
      <c r="AM12" s="24"/>
      <c r="AN12" s="24" t="s">
        <v>128</v>
      </c>
    </row>
    <row r="13" spans="1:40" x14ac:dyDescent="0.25">
      <c r="A13" s="26" t="s">
        <v>42</v>
      </c>
      <c r="B13" s="24" t="s">
        <v>52</v>
      </c>
      <c r="C13" s="26" t="s">
        <v>104</v>
      </c>
      <c r="D13" s="23" t="s">
        <v>43</v>
      </c>
      <c r="E13" s="54">
        <v>412450</v>
      </c>
      <c r="F13" s="49">
        <v>284086</v>
      </c>
      <c r="G13" s="49"/>
      <c r="H13" s="49"/>
      <c r="I13" s="27">
        <v>31.4</v>
      </c>
      <c r="J13" s="28">
        <v>450</v>
      </c>
      <c r="K13" s="29">
        <v>8.7100000000000009</v>
      </c>
      <c r="L13" s="28">
        <v>-375</v>
      </c>
      <c r="M13" s="27">
        <v>102.5</v>
      </c>
      <c r="N13" s="27">
        <v>1.2</v>
      </c>
      <c r="O13" s="27">
        <v>2.7</v>
      </c>
      <c r="P13" s="27">
        <v>1.8</v>
      </c>
      <c r="Q13" s="28">
        <v>205</v>
      </c>
      <c r="R13" s="28">
        <v>17</v>
      </c>
      <c r="S13" s="28">
        <v>20</v>
      </c>
      <c r="T13" s="27">
        <v>2.5</v>
      </c>
      <c r="U13" s="23">
        <v>0.5</v>
      </c>
      <c r="V13" s="30" t="s">
        <v>105</v>
      </c>
      <c r="W13" s="27">
        <v>28.4</v>
      </c>
      <c r="X13" s="28">
        <v>381</v>
      </c>
      <c r="Y13" s="29">
        <v>4.93</v>
      </c>
      <c r="Z13" s="29">
        <v>-5.87</v>
      </c>
      <c r="AA13" s="29">
        <v>-34.700000000000003</v>
      </c>
      <c r="AB13" s="27">
        <v>8.6999999999999993</v>
      </c>
      <c r="AC13" s="27">
        <v>11.1</v>
      </c>
      <c r="AD13" s="30" t="s">
        <v>105</v>
      </c>
      <c r="AE13" s="31">
        <v>0.70698300000000003</v>
      </c>
      <c r="AF13" s="31">
        <v>9.0000000000000002E-6</v>
      </c>
      <c r="AG13" s="50"/>
      <c r="AH13" s="51">
        <v>0.08</v>
      </c>
      <c r="AI13" s="52">
        <v>1.1000000000000001</v>
      </c>
      <c r="AJ13" s="53">
        <v>3.38</v>
      </c>
      <c r="AK13" s="53" t="s">
        <v>115</v>
      </c>
      <c r="AL13" s="24"/>
      <c r="AM13" s="24"/>
      <c r="AN13" s="60" t="s">
        <v>52</v>
      </c>
    </row>
    <row r="14" spans="1:40" x14ac:dyDescent="0.25">
      <c r="E14" s="33"/>
      <c r="F14" s="34"/>
      <c r="G14" s="34"/>
      <c r="H14" s="34"/>
      <c r="Z14" s="1"/>
      <c r="AA14" s="1"/>
      <c r="AB14" s="1"/>
      <c r="AC14" s="1"/>
      <c r="AD14" s="1"/>
      <c r="AE14" s="1"/>
      <c r="AF14" s="1"/>
      <c r="AG14" s="41"/>
      <c r="AH14" s="38"/>
      <c r="AI14" s="39"/>
      <c r="AJ14" s="37"/>
      <c r="AK14" s="40"/>
    </row>
    <row r="15" spans="1:40" x14ac:dyDescent="0.25">
      <c r="E15" s="33"/>
      <c r="F15" s="34"/>
      <c r="G15" s="34"/>
      <c r="H15" s="34"/>
      <c r="AG15" s="33"/>
      <c r="AH15" s="32"/>
      <c r="AI15" s="39"/>
      <c r="AJ15" s="37"/>
      <c r="AK15" s="32"/>
    </row>
    <row r="16" spans="1:40" x14ac:dyDescent="0.25">
      <c r="E16" s="33"/>
      <c r="F16" s="34"/>
      <c r="G16" s="34"/>
      <c r="H16" s="34"/>
      <c r="AG16" s="33"/>
      <c r="AH16" s="32"/>
      <c r="AI16" s="39"/>
      <c r="AJ16" s="37"/>
      <c r="AK16" s="42"/>
    </row>
    <row r="17" spans="5:37" x14ac:dyDescent="0.25">
      <c r="E17" s="33"/>
      <c r="F17" s="34"/>
      <c r="G17" s="34"/>
      <c r="H17" s="34"/>
      <c r="AG17" s="33"/>
      <c r="AH17" s="32"/>
      <c r="AI17" s="39"/>
      <c r="AJ17" s="37"/>
      <c r="AK17" s="42"/>
    </row>
    <row r="18" spans="5:37" x14ac:dyDescent="0.25">
      <c r="E18" s="33"/>
      <c r="F18" s="34"/>
      <c r="G18" s="34"/>
      <c r="H18" s="34"/>
      <c r="AG18" s="33"/>
      <c r="AH18" s="32"/>
      <c r="AJ18" s="37"/>
      <c r="AK18" s="42"/>
    </row>
    <row r="19" spans="5:37" x14ac:dyDescent="0.25">
      <c r="E19" s="33"/>
      <c r="F19" s="34"/>
      <c r="G19" s="34"/>
      <c r="H19" s="34"/>
      <c r="AG19" s="33"/>
      <c r="AH19" s="32"/>
      <c r="AI19" s="43"/>
      <c r="AJ19" s="37"/>
      <c r="AK19" s="32"/>
    </row>
    <row r="20" spans="5:37" x14ac:dyDescent="0.25">
      <c r="F20" s="34"/>
      <c r="G20" s="34"/>
      <c r="H20" s="34"/>
      <c r="AG20" s="33"/>
      <c r="AK20" s="32"/>
    </row>
    <row r="21" spans="5:37" x14ac:dyDescent="0.25">
      <c r="AG21" s="33"/>
      <c r="AK21" s="32"/>
    </row>
    <row r="22" spans="5:37" x14ac:dyDescent="0.25">
      <c r="AK22" s="32"/>
    </row>
    <row r="23" spans="5:37" x14ac:dyDescent="0.25">
      <c r="AK23" s="32"/>
    </row>
    <row r="24" spans="5:37" x14ac:dyDescent="0.25">
      <c r="AK24" s="32"/>
    </row>
    <row r="25" spans="5:37" x14ac:dyDescent="0.25">
      <c r="AK25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043B-DAF2-4194-9562-13FA0D26F8B3}">
  <dimension ref="A1:V9"/>
  <sheetViews>
    <sheetView workbookViewId="0">
      <selection activeCell="F26" sqref="F26"/>
    </sheetView>
  </sheetViews>
  <sheetFormatPr defaultRowHeight="15" x14ac:dyDescent="0.25"/>
  <cols>
    <col min="19" max="19" width="9.28515625" customWidth="1"/>
    <col min="20" max="20" width="12.7109375" customWidth="1"/>
  </cols>
  <sheetData>
    <row r="1" spans="1:22" x14ac:dyDescent="0.25">
      <c r="A1" s="21" t="s">
        <v>68</v>
      </c>
    </row>
    <row r="3" spans="1:22" ht="45" x14ac:dyDescent="0.25">
      <c r="A3" s="25" t="s">
        <v>2</v>
      </c>
      <c r="B3" s="25" t="s">
        <v>3</v>
      </c>
      <c r="C3" s="25" t="s">
        <v>4</v>
      </c>
      <c r="D3" s="25" t="s">
        <v>5</v>
      </c>
      <c r="E3" s="30" t="s">
        <v>6</v>
      </c>
      <c r="F3" s="30" t="s">
        <v>7</v>
      </c>
      <c r="G3" s="30" t="s">
        <v>8</v>
      </c>
      <c r="H3" s="30" t="s">
        <v>9</v>
      </c>
      <c r="I3" s="25" t="s">
        <v>10</v>
      </c>
      <c r="J3" s="25" t="s">
        <v>11</v>
      </c>
      <c r="K3" s="30" t="s">
        <v>12</v>
      </c>
      <c r="L3" s="25" t="s">
        <v>13</v>
      </c>
      <c r="M3" s="25" t="s">
        <v>14</v>
      </c>
      <c r="N3" s="30" t="s">
        <v>15</v>
      </c>
      <c r="O3" s="25" t="s">
        <v>16</v>
      </c>
      <c r="P3" s="30" t="s">
        <v>17</v>
      </c>
      <c r="Q3" s="30" t="s">
        <v>18</v>
      </c>
      <c r="R3" s="58" t="s">
        <v>117</v>
      </c>
      <c r="S3" s="58" t="s">
        <v>118</v>
      </c>
      <c r="T3" s="58" t="s">
        <v>119</v>
      </c>
      <c r="U3" s="58" t="s">
        <v>120</v>
      </c>
      <c r="V3" s="45" t="s">
        <v>112</v>
      </c>
    </row>
    <row r="9" spans="1:22" x14ac:dyDescent="0.25">
      <c r="O9" t="s">
        <v>135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06A3-93F3-4FAE-86C7-B54D9B8197A2}">
  <dimension ref="A1:T4"/>
  <sheetViews>
    <sheetView workbookViewId="0">
      <selection activeCell="H17" sqref="H17"/>
    </sheetView>
  </sheetViews>
  <sheetFormatPr defaultColWidth="8.85546875" defaultRowHeight="15" x14ac:dyDescent="0.25"/>
  <cols>
    <col min="1" max="1" width="14.140625" style="19" customWidth="1"/>
    <col min="2" max="2" width="27.42578125" style="19" customWidth="1"/>
    <col min="3" max="3" width="10.140625" style="19" customWidth="1"/>
    <col min="4" max="4" width="9" style="19" customWidth="1"/>
    <col min="5" max="20" width="7.28515625" style="19" customWidth="1"/>
    <col min="21" max="16384" width="8.85546875" style="9"/>
  </cols>
  <sheetData>
    <row r="1" spans="1:20" ht="45" x14ac:dyDescent="0.25">
      <c r="A1" s="2" t="s">
        <v>44</v>
      </c>
      <c r="B1" s="3" t="s">
        <v>53</v>
      </c>
      <c r="C1" s="2" t="s">
        <v>54</v>
      </c>
      <c r="D1" s="4" t="s">
        <v>55</v>
      </c>
      <c r="E1" s="2" t="s">
        <v>4</v>
      </c>
      <c r="F1" s="5" t="s">
        <v>6</v>
      </c>
      <c r="G1" s="5" t="s">
        <v>7</v>
      </c>
      <c r="H1" s="6" t="s">
        <v>8</v>
      </c>
      <c r="I1" s="6" t="s">
        <v>9</v>
      </c>
      <c r="J1" s="7" t="s">
        <v>10</v>
      </c>
      <c r="K1" s="8" t="s">
        <v>11</v>
      </c>
      <c r="L1" s="5" t="s">
        <v>12</v>
      </c>
      <c r="M1" s="7" t="s">
        <v>13</v>
      </c>
      <c r="N1" s="8" t="s">
        <v>16</v>
      </c>
      <c r="O1" s="6" t="s">
        <v>17</v>
      </c>
      <c r="P1" s="5" t="s">
        <v>56</v>
      </c>
      <c r="Q1" s="4" t="s">
        <v>57</v>
      </c>
      <c r="R1" s="4" t="s">
        <v>58</v>
      </c>
      <c r="S1" s="4" t="s">
        <v>59</v>
      </c>
      <c r="T1" s="6" t="s">
        <v>60</v>
      </c>
    </row>
    <row r="2" spans="1:20" x14ac:dyDescent="0.25">
      <c r="A2" s="2" t="s">
        <v>61</v>
      </c>
      <c r="B2" s="5" t="s">
        <v>62</v>
      </c>
      <c r="C2" s="10">
        <v>24.1</v>
      </c>
      <c r="D2" s="11">
        <v>772</v>
      </c>
      <c r="E2" s="12">
        <v>8.1999999999999993</v>
      </c>
      <c r="F2" s="13">
        <v>184</v>
      </c>
      <c r="G2" s="14">
        <v>4.2</v>
      </c>
      <c r="H2" s="10">
        <v>5.5</v>
      </c>
      <c r="I2" s="10">
        <v>2.4</v>
      </c>
      <c r="J2" s="13">
        <v>207</v>
      </c>
      <c r="K2" s="15">
        <v>23</v>
      </c>
      <c r="L2" s="13">
        <v>200</v>
      </c>
      <c r="M2" s="14">
        <v>28.6</v>
      </c>
      <c r="N2" s="10">
        <v>27.9</v>
      </c>
      <c r="O2" s="15">
        <v>687</v>
      </c>
      <c r="P2" s="16">
        <v>6.59</v>
      </c>
      <c r="Q2" s="17">
        <v>1.22</v>
      </c>
      <c r="R2" s="17">
        <v>0.72</v>
      </c>
      <c r="S2" s="15">
        <v>7326</v>
      </c>
      <c r="T2" s="15">
        <v>597</v>
      </c>
    </row>
    <row r="4" spans="1:20" x14ac:dyDescent="0.25">
      <c r="A4" s="18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3B766-3AD4-46B4-B4BE-325690BFF4EE}">
  <dimension ref="A1:V18"/>
  <sheetViews>
    <sheetView workbookViewId="0">
      <selection activeCell="N22" sqref="N22"/>
    </sheetView>
  </sheetViews>
  <sheetFormatPr defaultRowHeight="15" x14ac:dyDescent="0.25"/>
  <cols>
    <col min="1" max="1" width="17.7109375" customWidth="1"/>
    <col min="2" max="11" width="7" customWidth="1"/>
    <col min="13" max="22" width="6.7109375" customWidth="1"/>
  </cols>
  <sheetData>
    <row r="1" spans="1:22" x14ac:dyDescent="0.25">
      <c r="B1" s="125" t="s">
        <v>136</v>
      </c>
      <c r="C1" s="126"/>
      <c r="D1" s="126"/>
      <c r="E1" s="126"/>
      <c r="F1" s="126"/>
      <c r="G1" s="126"/>
      <c r="H1" s="126"/>
      <c r="I1" s="126"/>
      <c r="J1" s="126"/>
      <c r="K1" s="127"/>
      <c r="M1" s="125" t="s">
        <v>137</v>
      </c>
      <c r="N1" s="126"/>
      <c r="O1" s="126"/>
      <c r="P1" s="126"/>
      <c r="Q1" s="126"/>
      <c r="R1" s="126"/>
      <c r="S1" s="126"/>
      <c r="T1" s="126"/>
      <c r="U1" s="126"/>
      <c r="V1" s="127"/>
    </row>
    <row r="2" spans="1:22" s="20" customFormat="1" x14ac:dyDescent="0.25">
      <c r="A2" s="25" t="s">
        <v>67</v>
      </c>
      <c r="B2" s="25" t="s">
        <v>84</v>
      </c>
      <c r="C2" s="46" t="s">
        <v>83</v>
      </c>
      <c r="D2" s="46" t="s">
        <v>82</v>
      </c>
      <c r="E2" s="46" t="s">
        <v>81</v>
      </c>
      <c r="F2" s="25" t="s">
        <v>80</v>
      </c>
      <c r="G2" s="25" t="s">
        <v>79</v>
      </c>
      <c r="H2" s="46" t="s">
        <v>78</v>
      </c>
      <c r="I2" s="25" t="s">
        <v>77</v>
      </c>
      <c r="J2" s="25" t="s">
        <v>76</v>
      </c>
      <c r="K2" s="46" t="s">
        <v>75</v>
      </c>
      <c r="M2" s="25" t="s">
        <v>84</v>
      </c>
      <c r="N2" s="46" t="s">
        <v>83</v>
      </c>
      <c r="O2" s="46" t="s">
        <v>82</v>
      </c>
      <c r="P2" s="46" t="s">
        <v>81</v>
      </c>
      <c r="Q2" s="25" t="s">
        <v>80</v>
      </c>
      <c r="R2" s="25" t="s">
        <v>79</v>
      </c>
      <c r="S2" s="46" t="s">
        <v>78</v>
      </c>
      <c r="T2" s="25" t="s">
        <v>77</v>
      </c>
      <c r="U2" s="25" t="s">
        <v>76</v>
      </c>
      <c r="V2" s="46" t="s">
        <v>75</v>
      </c>
    </row>
    <row r="3" spans="1:22" s="20" customFormat="1" x14ac:dyDescent="0.25">
      <c r="A3" s="68" t="s">
        <v>133</v>
      </c>
      <c r="B3" s="25">
        <v>1</v>
      </c>
      <c r="C3" s="46">
        <v>1</v>
      </c>
      <c r="D3" s="46">
        <v>2</v>
      </c>
      <c r="E3" s="46">
        <v>2</v>
      </c>
      <c r="F3" s="25">
        <v>1</v>
      </c>
      <c r="G3" s="25">
        <v>2</v>
      </c>
      <c r="H3" s="46">
        <v>1</v>
      </c>
      <c r="I3" s="25">
        <v>2</v>
      </c>
      <c r="J3" s="25">
        <v>1</v>
      </c>
      <c r="K3" s="46">
        <v>1</v>
      </c>
    </row>
    <row r="4" spans="1:22" s="20" customFormat="1" x14ac:dyDescent="0.25">
      <c r="A4" s="68" t="s">
        <v>134</v>
      </c>
      <c r="B4" s="65">
        <v>22.99</v>
      </c>
      <c r="C4" s="65">
        <v>39.1</v>
      </c>
      <c r="D4" s="65">
        <v>40.08</v>
      </c>
      <c r="E4" s="65">
        <v>24.31</v>
      </c>
      <c r="F4" s="65">
        <v>61.02</v>
      </c>
      <c r="G4" s="65">
        <v>60.01</v>
      </c>
      <c r="H4" s="65">
        <v>35.450000000000003</v>
      </c>
      <c r="I4" s="65">
        <v>96.06</v>
      </c>
      <c r="J4" s="65">
        <v>62</v>
      </c>
      <c r="K4" s="65">
        <v>17.010000000000002</v>
      </c>
    </row>
    <row r="5" spans="1:22" x14ac:dyDescent="0.25">
      <c r="A5" s="22" t="s">
        <v>64</v>
      </c>
      <c r="B5" s="27">
        <v>49.3</v>
      </c>
      <c r="C5" s="27">
        <v>1.2</v>
      </c>
      <c r="D5" s="27">
        <v>1.6</v>
      </c>
      <c r="E5" s="29">
        <v>0.18</v>
      </c>
      <c r="F5" s="28">
        <v>53</v>
      </c>
      <c r="G5" s="28">
        <v>23</v>
      </c>
      <c r="H5" s="27">
        <v>8.9</v>
      </c>
      <c r="I5" s="27">
        <v>16.100000000000001</v>
      </c>
      <c r="J5" s="23">
        <v>0.5</v>
      </c>
      <c r="K5" s="30">
        <v>0</v>
      </c>
      <c r="M5" s="66">
        <f>B5*$B$3/$B$4</f>
        <v>2.1444106133101348</v>
      </c>
      <c r="N5" s="66">
        <f>C5*$C$3/$C$4</f>
        <v>3.0690537084398974E-2</v>
      </c>
      <c r="O5" s="66">
        <f>D5*$D$3/$D$4</f>
        <v>7.9840319361277459E-2</v>
      </c>
      <c r="P5" s="66">
        <f>E5*$E$3/$E$4</f>
        <v>1.4808720691073633E-2</v>
      </c>
      <c r="Q5" s="66">
        <f>F5*$F$3/$F$4</f>
        <v>0.86856768272697471</v>
      </c>
      <c r="R5" s="66">
        <f>G5*$G$3/$G$4</f>
        <v>0.76653891018163645</v>
      </c>
      <c r="S5" s="66">
        <f>H5*$H$3/$H$4</f>
        <v>0.25105782792665726</v>
      </c>
      <c r="T5" s="66">
        <f>I5*$I$3/$I$4</f>
        <v>0.33520716219029772</v>
      </c>
      <c r="U5" s="66">
        <f>J5*$J$3/$J$4</f>
        <v>8.0645161290322578E-3</v>
      </c>
      <c r="V5" s="66">
        <f>K5*$K$3/$K$4</f>
        <v>0</v>
      </c>
    </row>
    <row r="6" spans="1:22" x14ac:dyDescent="0.25">
      <c r="A6" s="24" t="s">
        <v>85</v>
      </c>
      <c r="B6" s="27">
        <v>76.599999999999994</v>
      </c>
      <c r="C6" s="27">
        <v>1.9</v>
      </c>
      <c r="D6" s="27">
        <v>0.9</v>
      </c>
      <c r="E6" s="29">
        <v>0.36</v>
      </c>
      <c r="F6" s="28">
        <v>69</v>
      </c>
      <c r="G6" s="28">
        <v>42</v>
      </c>
      <c r="H6" s="27">
        <v>15.4</v>
      </c>
      <c r="I6" s="27">
        <v>19.7</v>
      </c>
      <c r="J6" s="23">
        <v>0.5</v>
      </c>
      <c r="K6" s="30">
        <v>0</v>
      </c>
      <c r="M6" s="66">
        <f t="shared" ref="M6:M18" si="0">B6*$B$3/$B$4</f>
        <v>3.3318834275772073</v>
      </c>
      <c r="N6" s="66">
        <f t="shared" ref="N6:N18" si="1">C6*$C$3/$C$4</f>
        <v>4.859335038363171E-2</v>
      </c>
      <c r="O6" s="66">
        <f t="shared" ref="O6:O18" si="2">D6*$D$3/$D$4</f>
        <v>4.4910179640718563E-2</v>
      </c>
      <c r="P6" s="66">
        <f t="shared" ref="P6:P18" si="3">E6*$E$3/$E$4</f>
        <v>2.9617441382147267E-2</v>
      </c>
      <c r="Q6" s="66">
        <f t="shared" ref="Q6:Q18" si="4">F6*$F$3/$F$4</f>
        <v>1.1307767944936087</v>
      </c>
      <c r="R6" s="66">
        <f t="shared" ref="R6:R18" si="5">G6*$G$3/$G$4</f>
        <v>1.3997667055490752</v>
      </c>
      <c r="S6" s="66">
        <f t="shared" ref="S6:S18" si="6">H6*$H$3/$H$4</f>
        <v>0.43441466854724964</v>
      </c>
      <c r="T6" s="66">
        <f t="shared" ref="T6:T18" si="7">I6*$I$3/$I$4</f>
        <v>0.41016031646887358</v>
      </c>
      <c r="U6" s="66">
        <f t="shared" ref="U6:U18" si="8">J6*$J$3/$J$4</f>
        <v>8.0645161290322578E-3</v>
      </c>
      <c r="V6" s="66">
        <f t="shared" ref="V6:V18" si="9">K6*$K$3/$K$4</f>
        <v>0</v>
      </c>
    </row>
    <row r="7" spans="1:22" x14ac:dyDescent="0.25">
      <c r="A7" s="26" t="s">
        <v>86</v>
      </c>
      <c r="B7" s="27">
        <v>75.099999999999994</v>
      </c>
      <c r="C7" s="27">
        <v>0.7</v>
      </c>
      <c r="D7" s="27">
        <v>14.2</v>
      </c>
      <c r="E7" s="27">
        <v>1.8</v>
      </c>
      <c r="F7" s="28">
        <v>217</v>
      </c>
      <c r="G7" s="23">
        <v>10</v>
      </c>
      <c r="H7" s="27">
        <v>13.8</v>
      </c>
      <c r="I7" s="27">
        <v>6.3</v>
      </c>
      <c r="J7" s="23">
        <v>0.5</v>
      </c>
      <c r="K7" s="30">
        <v>0</v>
      </c>
      <c r="M7" s="66">
        <f t="shared" si="0"/>
        <v>3.2666376685515441</v>
      </c>
      <c r="N7" s="66">
        <f t="shared" si="1"/>
        <v>1.7902813299232736E-2</v>
      </c>
      <c r="O7" s="66">
        <f t="shared" si="2"/>
        <v>0.70858283433133729</v>
      </c>
      <c r="P7" s="66">
        <f t="shared" si="3"/>
        <v>0.14808720691073635</v>
      </c>
      <c r="Q7" s="66">
        <f t="shared" si="4"/>
        <v>3.5562110783349721</v>
      </c>
      <c r="R7" s="66">
        <f t="shared" si="5"/>
        <v>0.3332777870354941</v>
      </c>
      <c r="S7" s="66">
        <f t="shared" si="6"/>
        <v>0.38928067700987307</v>
      </c>
      <c r="T7" s="66">
        <f t="shared" si="7"/>
        <v>0.13116801998750779</v>
      </c>
      <c r="U7" s="66">
        <f t="shared" si="8"/>
        <v>8.0645161290322578E-3</v>
      </c>
      <c r="V7" s="66">
        <f t="shared" si="9"/>
        <v>0</v>
      </c>
    </row>
    <row r="8" spans="1:22" x14ac:dyDescent="0.25">
      <c r="A8" s="24" t="s">
        <v>130</v>
      </c>
      <c r="B8" s="27">
        <v>69.099999999999994</v>
      </c>
      <c r="C8" s="27">
        <v>1.3</v>
      </c>
      <c r="D8" s="27">
        <v>4.8</v>
      </c>
      <c r="E8" s="27">
        <v>39.4</v>
      </c>
      <c r="F8" s="28">
        <v>281</v>
      </c>
      <c r="G8" s="23">
        <v>10</v>
      </c>
      <c r="H8" s="27">
        <v>62.2</v>
      </c>
      <c r="I8" s="27">
        <v>5.7</v>
      </c>
      <c r="J8" s="23">
        <v>0.5</v>
      </c>
      <c r="K8" s="30">
        <v>0</v>
      </c>
      <c r="M8" s="66">
        <f t="shared" si="0"/>
        <v>3.0056546324488909</v>
      </c>
      <c r="N8" s="66">
        <f t="shared" si="1"/>
        <v>3.3248081841432228E-2</v>
      </c>
      <c r="O8" s="66">
        <f t="shared" si="2"/>
        <v>0.23952095808383234</v>
      </c>
      <c r="P8" s="66">
        <f t="shared" si="3"/>
        <v>3.2414644179350063</v>
      </c>
      <c r="Q8" s="66">
        <f t="shared" si="4"/>
        <v>4.6050475254015071</v>
      </c>
      <c r="R8" s="66">
        <f t="shared" si="5"/>
        <v>0.3332777870354941</v>
      </c>
      <c r="S8" s="66">
        <f t="shared" si="6"/>
        <v>1.7545839210155147</v>
      </c>
      <c r="T8" s="66">
        <f t="shared" si="7"/>
        <v>0.11867582760774516</v>
      </c>
      <c r="U8" s="66">
        <f t="shared" si="8"/>
        <v>8.0645161290322578E-3</v>
      </c>
      <c r="V8" s="66">
        <f t="shared" si="9"/>
        <v>0</v>
      </c>
    </row>
    <row r="9" spans="1:22" x14ac:dyDescent="0.25">
      <c r="A9" s="26" t="s">
        <v>88</v>
      </c>
      <c r="B9" s="27">
        <v>56.6</v>
      </c>
      <c r="C9" s="27">
        <v>1.4</v>
      </c>
      <c r="D9" s="27">
        <v>1.5</v>
      </c>
      <c r="E9" s="29">
        <v>0.28000000000000003</v>
      </c>
      <c r="F9" s="28">
        <v>97</v>
      </c>
      <c r="G9" s="28">
        <v>16</v>
      </c>
      <c r="H9" s="27">
        <v>7.5</v>
      </c>
      <c r="I9" s="27">
        <v>6.7</v>
      </c>
      <c r="J9" s="23">
        <v>0.5</v>
      </c>
      <c r="K9" s="30">
        <v>0</v>
      </c>
      <c r="M9" s="66">
        <f t="shared" si="0"/>
        <v>2.4619399739016967</v>
      </c>
      <c r="N9" s="66">
        <f t="shared" si="1"/>
        <v>3.5805626598465472E-2</v>
      </c>
      <c r="O9" s="66">
        <f t="shared" si="2"/>
        <v>7.4850299401197612E-2</v>
      </c>
      <c r="P9" s="66">
        <f t="shared" si="3"/>
        <v>2.3035787741670099E-2</v>
      </c>
      <c r="Q9" s="66">
        <f t="shared" si="4"/>
        <v>1.5896427400852178</v>
      </c>
      <c r="R9" s="66">
        <f t="shared" si="5"/>
        <v>0.53324445925679054</v>
      </c>
      <c r="S9" s="66">
        <f t="shared" si="6"/>
        <v>0.21156558533145273</v>
      </c>
      <c r="T9" s="66">
        <f t="shared" si="7"/>
        <v>0.1394961482406829</v>
      </c>
      <c r="U9" s="66">
        <f t="shared" si="8"/>
        <v>8.0645161290322578E-3</v>
      </c>
      <c r="V9" s="66">
        <f t="shared" si="9"/>
        <v>0</v>
      </c>
    </row>
    <row r="10" spans="1:22" x14ac:dyDescent="0.25">
      <c r="A10" s="24" t="s">
        <v>52</v>
      </c>
      <c r="B10" s="27">
        <v>102.5</v>
      </c>
      <c r="C10" s="27">
        <v>1.2</v>
      </c>
      <c r="D10" s="27">
        <v>2.7</v>
      </c>
      <c r="E10" s="27">
        <v>1.8</v>
      </c>
      <c r="F10" s="28">
        <v>205</v>
      </c>
      <c r="G10" s="28">
        <v>17</v>
      </c>
      <c r="H10" s="28">
        <v>20</v>
      </c>
      <c r="I10" s="27">
        <v>2.5</v>
      </c>
      <c r="J10" s="23">
        <v>0.5</v>
      </c>
      <c r="K10" s="30">
        <v>0</v>
      </c>
      <c r="M10" s="66">
        <f t="shared" si="0"/>
        <v>4.4584602000869946</v>
      </c>
      <c r="N10" s="66">
        <f t="shared" si="1"/>
        <v>3.0690537084398974E-2</v>
      </c>
      <c r="O10" s="66">
        <f t="shared" si="2"/>
        <v>0.1347305389221557</v>
      </c>
      <c r="P10" s="66">
        <f t="shared" si="3"/>
        <v>0.14808720691073635</v>
      </c>
      <c r="Q10" s="66">
        <f t="shared" si="4"/>
        <v>3.3595542445099964</v>
      </c>
      <c r="R10" s="66">
        <f t="shared" si="5"/>
        <v>0.56657223796033995</v>
      </c>
      <c r="S10" s="66">
        <f t="shared" si="6"/>
        <v>0.56417489421720723</v>
      </c>
      <c r="T10" s="66">
        <f t="shared" si="7"/>
        <v>5.2050801582344368E-2</v>
      </c>
      <c r="U10" s="66">
        <f t="shared" si="8"/>
        <v>8.0645161290322578E-3</v>
      </c>
      <c r="V10" s="66">
        <f t="shared" si="9"/>
        <v>0</v>
      </c>
    </row>
    <row r="11" spans="1:22" x14ac:dyDescent="0.25">
      <c r="A11" s="24" t="s">
        <v>89</v>
      </c>
      <c r="B11" s="27">
        <v>29.5</v>
      </c>
      <c r="C11" s="27">
        <v>3.2</v>
      </c>
      <c r="D11" s="27">
        <v>28.2</v>
      </c>
      <c r="E11" s="29">
        <v>0.2</v>
      </c>
      <c r="F11" s="23">
        <v>10</v>
      </c>
      <c r="G11" s="28">
        <v>11</v>
      </c>
      <c r="H11" s="27">
        <v>11.4</v>
      </c>
      <c r="I11" s="23">
        <v>0.5</v>
      </c>
      <c r="J11" s="23">
        <v>0.5</v>
      </c>
      <c r="K11" s="27">
        <v>35</v>
      </c>
      <c r="M11" s="66">
        <f t="shared" si="0"/>
        <v>1.283166594171379</v>
      </c>
      <c r="N11" s="66">
        <f t="shared" si="1"/>
        <v>8.1841432225063945E-2</v>
      </c>
      <c r="O11" s="66">
        <f t="shared" si="2"/>
        <v>1.4071856287425151</v>
      </c>
      <c r="P11" s="66">
        <f t="shared" si="3"/>
        <v>1.6454134101192928E-2</v>
      </c>
      <c r="Q11" s="66">
        <f t="shared" si="4"/>
        <v>0.16388069485414616</v>
      </c>
      <c r="R11" s="66">
        <f t="shared" si="5"/>
        <v>0.36660556573904352</v>
      </c>
      <c r="S11" s="66">
        <f t="shared" si="6"/>
        <v>0.32157968970380818</v>
      </c>
      <c r="T11" s="66">
        <f t="shared" si="7"/>
        <v>1.0410160316468874E-2</v>
      </c>
      <c r="U11" s="66">
        <f t="shared" si="8"/>
        <v>8.0645161290322578E-3</v>
      </c>
      <c r="V11" s="66">
        <f t="shared" si="9"/>
        <v>2.0576131687242798</v>
      </c>
    </row>
    <row r="12" spans="1:22" x14ac:dyDescent="0.25">
      <c r="A12" s="24" t="s">
        <v>90</v>
      </c>
      <c r="B12" s="27">
        <v>15.8</v>
      </c>
      <c r="C12" s="27">
        <v>0.7</v>
      </c>
      <c r="D12" s="27">
        <v>26.8</v>
      </c>
      <c r="E12" s="29">
        <v>0.19</v>
      </c>
      <c r="F12" s="23">
        <v>10</v>
      </c>
      <c r="G12" s="28">
        <v>12</v>
      </c>
      <c r="H12" s="27">
        <v>10.5</v>
      </c>
      <c r="I12" s="27">
        <v>0.7</v>
      </c>
      <c r="J12" s="23">
        <v>0.5</v>
      </c>
      <c r="K12" s="27">
        <v>22</v>
      </c>
      <c r="M12" s="66">
        <f t="shared" si="0"/>
        <v>0.68725532840365389</v>
      </c>
      <c r="N12" s="66">
        <f t="shared" si="1"/>
        <v>1.7902813299232736E-2</v>
      </c>
      <c r="O12" s="66">
        <f t="shared" si="2"/>
        <v>1.3373253493013972</v>
      </c>
      <c r="P12" s="66">
        <f t="shared" si="3"/>
        <v>1.5631427396133279E-2</v>
      </c>
      <c r="Q12" s="66">
        <f t="shared" si="4"/>
        <v>0.16388069485414616</v>
      </c>
      <c r="R12" s="66">
        <f t="shared" si="5"/>
        <v>0.39993334444259293</v>
      </c>
      <c r="S12" s="66">
        <f t="shared" si="6"/>
        <v>0.29619181946403383</v>
      </c>
      <c r="T12" s="66">
        <f t="shared" si="7"/>
        <v>1.4574224443056422E-2</v>
      </c>
      <c r="U12" s="66">
        <f t="shared" si="8"/>
        <v>8.0645161290322578E-3</v>
      </c>
      <c r="V12" s="66">
        <f t="shared" si="9"/>
        <v>1.2933568489124043</v>
      </c>
    </row>
    <row r="13" spans="1:22" x14ac:dyDescent="0.25">
      <c r="A13" s="26" t="s">
        <v>91</v>
      </c>
      <c r="B13" s="27">
        <v>96.7</v>
      </c>
      <c r="C13" s="27">
        <v>3.6</v>
      </c>
      <c r="D13" s="27">
        <v>45.3</v>
      </c>
      <c r="E13" s="29">
        <v>0.18</v>
      </c>
      <c r="F13" s="23">
        <v>10</v>
      </c>
      <c r="G13" s="28">
        <v>17</v>
      </c>
      <c r="H13" s="27">
        <v>34.5</v>
      </c>
      <c r="I13" s="23">
        <v>0.5</v>
      </c>
      <c r="J13" s="23">
        <v>0.5</v>
      </c>
      <c r="K13" s="27">
        <v>81.8</v>
      </c>
      <c r="M13" s="66">
        <f t="shared" si="0"/>
        <v>4.2061765985210968</v>
      </c>
      <c r="N13" s="66">
        <f t="shared" si="1"/>
        <v>9.2071611253196933E-2</v>
      </c>
      <c r="O13" s="66">
        <f t="shared" si="2"/>
        <v>2.2604790419161676</v>
      </c>
      <c r="P13" s="66">
        <f t="shared" si="3"/>
        <v>1.4808720691073633E-2</v>
      </c>
      <c r="Q13" s="66">
        <f t="shared" si="4"/>
        <v>0.16388069485414616</v>
      </c>
      <c r="R13" s="66">
        <f t="shared" si="5"/>
        <v>0.56657223796033995</v>
      </c>
      <c r="S13" s="66">
        <f t="shared" si="6"/>
        <v>0.97320169252468258</v>
      </c>
      <c r="T13" s="66">
        <f t="shared" si="7"/>
        <v>1.0410160316468874E-2</v>
      </c>
      <c r="U13" s="66">
        <f t="shared" si="8"/>
        <v>8.0645161290322578E-3</v>
      </c>
      <c r="V13" s="66">
        <f t="shared" si="9"/>
        <v>4.8089359200470305</v>
      </c>
    </row>
    <row r="14" spans="1:22" x14ac:dyDescent="0.25">
      <c r="A14" s="24" t="s">
        <v>93</v>
      </c>
      <c r="B14" s="27">
        <v>27.8</v>
      </c>
      <c r="C14" s="27">
        <v>3.2</v>
      </c>
      <c r="D14" s="27">
        <v>19.2</v>
      </c>
      <c r="E14" s="29">
        <v>0.24</v>
      </c>
      <c r="F14" s="23">
        <v>10</v>
      </c>
      <c r="G14" s="23">
        <v>10</v>
      </c>
      <c r="H14" s="27">
        <v>23.2</v>
      </c>
      <c r="I14" s="23">
        <v>0.5</v>
      </c>
      <c r="J14" s="23">
        <v>0.5</v>
      </c>
      <c r="K14" s="27">
        <v>26</v>
      </c>
      <c r="M14" s="66">
        <f t="shared" si="0"/>
        <v>1.2092214006089606</v>
      </c>
      <c r="N14" s="66">
        <f t="shared" si="1"/>
        <v>8.1841432225063945E-2</v>
      </c>
      <c r="O14" s="66">
        <f t="shared" si="2"/>
        <v>0.95808383233532934</v>
      </c>
      <c r="P14" s="66">
        <f t="shared" si="3"/>
        <v>1.974496092143151E-2</v>
      </c>
      <c r="Q14" s="66">
        <f t="shared" si="4"/>
        <v>0.16388069485414616</v>
      </c>
      <c r="R14" s="66">
        <f t="shared" si="5"/>
        <v>0.3332777870354941</v>
      </c>
      <c r="S14" s="66">
        <f t="shared" si="6"/>
        <v>0.65444287729196049</v>
      </c>
      <c r="T14" s="66">
        <f t="shared" si="7"/>
        <v>1.0410160316468874E-2</v>
      </c>
      <c r="U14" s="66">
        <f t="shared" si="8"/>
        <v>8.0645161290322578E-3</v>
      </c>
      <c r="V14" s="66">
        <f t="shared" si="9"/>
        <v>1.5285126396237505</v>
      </c>
    </row>
    <row r="15" spans="1:22" x14ac:dyDescent="0.25">
      <c r="A15" s="24" t="s">
        <v>92</v>
      </c>
      <c r="B15" s="27">
        <v>13.4</v>
      </c>
      <c r="C15" s="27">
        <v>1.5</v>
      </c>
      <c r="D15" s="27">
        <v>22.5</v>
      </c>
      <c r="E15" s="29">
        <v>0.22</v>
      </c>
      <c r="F15" s="23">
        <v>10</v>
      </c>
      <c r="G15" s="28">
        <v>13</v>
      </c>
      <c r="H15" s="27">
        <v>10.9</v>
      </c>
      <c r="I15" s="23">
        <v>0.5</v>
      </c>
      <c r="J15" s="23">
        <v>0.5</v>
      </c>
      <c r="K15" s="27">
        <v>17</v>
      </c>
      <c r="M15" s="66">
        <f t="shared" si="0"/>
        <v>0.58286211396259247</v>
      </c>
      <c r="N15" s="66">
        <f t="shared" si="1"/>
        <v>3.8363171355498722E-2</v>
      </c>
      <c r="O15" s="66">
        <f t="shared" si="2"/>
        <v>1.1227544910179641</v>
      </c>
      <c r="P15" s="66">
        <f t="shared" si="3"/>
        <v>1.8099547511312219E-2</v>
      </c>
      <c r="Q15" s="66">
        <f t="shared" si="4"/>
        <v>0.16388069485414616</v>
      </c>
      <c r="R15" s="66">
        <f t="shared" si="5"/>
        <v>0.43326112314614235</v>
      </c>
      <c r="S15" s="66">
        <f t="shared" si="6"/>
        <v>0.30747531734837796</v>
      </c>
      <c r="T15" s="66">
        <f t="shared" si="7"/>
        <v>1.0410160316468874E-2</v>
      </c>
      <c r="U15" s="66">
        <f t="shared" si="8"/>
        <v>8.0645161290322578E-3</v>
      </c>
      <c r="V15" s="66">
        <f t="shared" si="9"/>
        <v>0.99941211052322154</v>
      </c>
    </row>
    <row r="16" spans="1:22" x14ac:dyDescent="0.25">
      <c r="A16" s="22" t="s">
        <v>94</v>
      </c>
      <c r="B16" s="27">
        <v>22.7</v>
      </c>
      <c r="C16" s="27">
        <v>3.8</v>
      </c>
      <c r="D16" s="27">
        <v>13.4</v>
      </c>
      <c r="E16" s="29">
        <v>0.3</v>
      </c>
      <c r="F16" s="23">
        <v>10</v>
      </c>
      <c r="G16" s="28">
        <v>20</v>
      </c>
      <c r="H16" s="27">
        <v>9.6999999999999993</v>
      </c>
      <c r="I16" s="23">
        <v>0.5</v>
      </c>
      <c r="J16" s="23">
        <v>0.5</v>
      </c>
      <c r="K16" s="27">
        <v>15</v>
      </c>
      <c r="M16" s="66">
        <f t="shared" si="0"/>
        <v>0.98738581992170515</v>
      </c>
      <c r="N16" s="66">
        <f t="shared" si="1"/>
        <v>9.718670076726342E-2</v>
      </c>
      <c r="O16" s="66">
        <f t="shared" si="2"/>
        <v>0.66866267465069862</v>
      </c>
      <c r="P16" s="66">
        <f t="shared" si="3"/>
        <v>2.4681201151789386E-2</v>
      </c>
      <c r="Q16" s="66">
        <f t="shared" si="4"/>
        <v>0.16388069485414616</v>
      </c>
      <c r="R16" s="66">
        <f t="shared" si="5"/>
        <v>0.6665555740709882</v>
      </c>
      <c r="S16" s="66">
        <f t="shared" si="6"/>
        <v>0.27362482369534552</v>
      </c>
      <c r="T16" s="66">
        <f t="shared" si="7"/>
        <v>1.0410160316468874E-2</v>
      </c>
      <c r="U16" s="66">
        <f t="shared" si="8"/>
        <v>8.0645161290322578E-3</v>
      </c>
      <c r="V16" s="66">
        <f t="shared" si="9"/>
        <v>0.88183421516754845</v>
      </c>
    </row>
    <row r="17" spans="1:22" x14ac:dyDescent="0.25">
      <c r="A17" s="9"/>
      <c r="B17" s="61"/>
      <c r="C17" s="61"/>
      <c r="D17" s="61"/>
      <c r="E17" s="62"/>
      <c r="F17" s="63"/>
      <c r="G17" s="64"/>
      <c r="H17" s="61"/>
      <c r="I17" s="63"/>
      <c r="J17" s="63"/>
      <c r="K17" s="61"/>
      <c r="M17" s="66"/>
      <c r="N17" s="66"/>
      <c r="O17" s="66"/>
      <c r="P17" s="66"/>
      <c r="Q17" s="66"/>
      <c r="R17" s="66"/>
      <c r="S17" s="66"/>
      <c r="T17" s="66"/>
      <c r="U17" s="66"/>
      <c r="V17" s="66"/>
    </row>
    <row r="18" spans="1:22" s="21" customFormat="1" x14ac:dyDescent="0.25">
      <c r="A18" s="21" t="s">
        <v>132</v>
      </c>
      <c r="B18" s="21">
        <v>35</v>
      </c>
      <c r="C18" s="21">
        <v>4.7</v>
      </c>
      <c r="D18" s="21">
        <v>23</v>
      </c>
      <c r="E18" s="21">
        <v>4.7</v>
      </c>
      <c r="F18" s="21">
        <v>171</v>
      </c>
      <c r="G18" s="21">
        <v>0</v>
      </c>
      <c r="H18" s="21">
        <v>9.5</v>
      </c>
      <c r="I18" s="21">
        <v>1</v>
      </c>
      <c r="M18" s="67">
        <f t="shared" si="0"/>
        <v>1.5224010439321445</v>
      </c>
      <c r="N18" s="67">
        <f t="shared" si="1"/>
        <v>0.12020460358056266</v>
      </c>
      <c r="O18" s="67">
        <f t="shared" si="2"/>
        <v>1.1477045908183634</v>
      </c>
      <c r="P18" s="67">
        <f t="shared" si="3"/>
        <v>0.38667215137803379</v>
      </c>
      <c r="Q18" s="67">
        <f t="shared" si="4"/>
        <v>2.8023598820058995</v>
      </c>
      <c r="R18" s="67">
        <f t="shared" si="5"/>
        <v>0</v>
      </c>
      <c r="S18" s="67">
        <f t="shared" si="6"/>
        <v>0.26798307475317346</v>
      </c>
      <c r="T18" s="67">
        <f t="shared" si="7"/>
        <v>2.0820320632937747E-2</v>
      </c>
      <c r="U18" s="67">
        <f t="shared" si="8"/>
        <v>0</v>
      </c>
      <c r="V18" s="67">
        <f t="shared" si="9"/>
        <v>0</v>
      </c>
    </row>
  </sheetData>
  <mergeCells count="2">
    <mergeCell ref="B1:K1"/>
    <mergeCell ref="M1:V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0D61-5908-43F1-81E6-7865FBF9C7CD}">
  <dimension ref="A1:AB16"/>
  <sheetViews>
    <sheetView workbookViewId="0">
      <selection activeCell="R20" sqref="R20"/>
    </sheetView>
  </sheetViews>
  <sheetFormatPr defaultRowHeight="15" x14ac:dyDescent="0.25"/>
  <cols>
    <col min="1" max="1" width="16.7109375" customWidth="1"/>
    <col min="2" max="10" width="5.5703125" customWidth="1"/>
    <col min="11" max="11" width="7.140625" customWidth="1"/>
    <col min="12" max="20" width="6.28515625" customWidth="1"/>
    <col min="21" max="21" width="3.85546875" customWidth="1"/>
    <col min="22" max="22" width="16.28515625" customWidth="1"/>
    <col min="23" max="27" width="6.5703125" customWidth="1"/>
    <col min="28" max="28" width="15.28515625" customWidth="1"/>
  </cols>
  <sheetData>
    <row r="1" spans="1:28" s="20" customFormat="1" ht="15.75" thickBot="1" x14ac:dyDescent="0.3">
      <c r="B1" s="128" t="s">
        <v>137</v>
      </c>
      <c r="C1" s="129"/>
      <c r="D1" s="129"/>
      <c r="E1" s="129"/>
      <c r="F1" s="129"/>
      <c r="G1" s="129"/>
      <c r="H1" s="129"/>
      <c r="I1" s="129"/>
      <c r="J1" s="130"/>
      <c r="L1" s="128" t="s">
        <v>138</v>
      </c>
      <c r="M1" s="129"/>
      <c r="N1" s="129"/>
      <c r="O1" s="129"/>
      <c r="P1" s="129"/>
      <c r="Q1" s="129"/>
      <c r="R1" s="129"/>
      <c r="S1" s="129"/>
      <c r="T1" s="130"/>
    </row>
    <row r="2" spans="1:28" s="20" customFormat="1" x14ac:dyDescent="0.25">
      <c r="A2" s="20" t="s">
        <v>67</v>
      </c>
      <c r="B2" s="75" t="s">
        <v>84</v>
      </c>
      <c r="C2" s="76" t="s">
        <v>83</v>
      </c>
      <c r="D2" s="76" t="s">
        <v>82</v>
      </c>
      <c r="E2" s="77" t="s">
        <v>81</v>
      </c>
      <c r="F2" s="75" t="s">
        <v>80</v>
      </c>
      <c r="G2" s="76" t="s">
        <v>78</v>
      </c>
      <c r="H2" s="76" t="s">
        <v>77</v>
      </c>
      <c r="I2" s="76" t="s">
        <v>79</v>
      </c>
      <c r="J2" s="77" t="s">
        <v>75</v>
      </c>
      <c r="K2" s="69"/>
      <c r="L2" s="75" t="s">
        <v>84</v>
      </c>
      <c r="M2" s="76" t="s">
        <v>83</v>
      </c>
      <c r="N2" s="76" t="s">
        <v>82</v>
      </c>
      <c r="O2" s="76" t="s">
        <v>81</v>
      </c>
      <c r="P2" s="75" t="s">
        <v>80</v>
      </c>
      <c r="Q2" s="76" t="s">
        <v>78</v>
      </c>
      <c r="R2" s="76" t="s">
        <v>77</v>
      </c>
      <c r="S2" s="76" t="s">
        <v>79</v>
      </c>
      <c r="T2" s="77" t="s">
        <v>75</v>
      </c>
      <c r="V2" s="69" t="s">
        <v>67</v>
      </c>
      <c r="W2" s="69" t="s">
        <v>82</v>
      </c>
      <c r="X2" s="69" t="s">
        <v>140</v>
      </c>
      <c r="Y2" s="69" t="s">
        <v>81</v>
      </c>
      <c r="Z2" s="69" t="s">
        <v>78</v>
      </c>
      <c r="AA2" s="69" t="s">
        <v>77</v>
      </c>
      <c r="AB2" s="69" t="s">
        <v>141</v>
      </c>
    </row>
    <row r="3" spans="1:28" x14ac:dyDescent="0.25">
      <c r="A3" t="s">
        <v>64</v>
      </c>
      <c r="B3" s="70">
        <v>2.1444106133101348</v>
      </c>
      <c r="C3" s="66">
        <v>3.0690537084398974E-2</v>
      </c>
      <c r="D3" s="66">
        <v>7.9840319361277459E-2</v>
      </c>
      <c r="E3" s="71">
        <v>1.4808720691073633E-2</v>
      </c>
      <c r="F3" s="70">
        <v>0.86856768272697471</v>
      </c>
      <c r="G3" s="66">
        <v>0.25105782792665726</v>
      </c>
      <c r="H3" s="66">
        <v>0.33520716219029772</v>
      </c>
      <c r="I3" s="66">
        <v>0.76653891018163645</v>
      </c>
      <c r="J3" s="71">
        <v>0</v>
      </c>
      <c r="K3" s="66"/>
      <c r="L3" s="118">
        <f t="shared" ref="L3:L14" si="0">(B3/SUM($B3:$E3))*100</f>
        <v>94.477825019498198</v>
      </c>
      <c r="M3" s="119">
        <f t="shared" ref="M3:M14" si="1">(C3/SUM($B3:$E3))*100</f>
        <v>1.3521548412495739</v>
      </c>
      <c r="N3" s="119">
        <f t="shared" ref="N3:N14" si="2">(D3/SUM($B3:$E3))*100</f>
        <v>3.5175817892786663</v>
      </c>
      <c r="O3" s="119">
        <f t="shared" ref="O3:O14" si="3">(E3/SUM($B3:$E3))*100</f>
        <v>0.65243834997357075</v>
      </c>
      <c r="P3" s="118">
        <f>(F3/SUM($F3:$J3))*100</f>
        <v>39.10051291571682</v>
      </c>
      <c r="Q3" s="119">
        <f>(G3/SUM($F3:$J3))*100</f>
        <v>11.301928495218704</v>
      </c>
      <c r="R3" s="119">
        <f>(H3/SUM($F3:$J3))*100</f>
        <v>15.090098601771832</v>
      </c>
      <c r="S3" s="119">
        <f>(I3/SUM($F3:$J3))*100</f>
        <v>34.507459987292648</v>
      </c>
      <c r="T3" s="120">
        <f>(J3/SUM($F3:$J3))*100</f>
        <v>0</v>
      </c>
      <c r="V3" t="s">
        <v>64</v>
      </c>
      <c r="W3" s="119">
        <v>3.5175817892786663</v>
      </c>
      <c r="X3" s="119">
        <f>L3+M3</f>
        <v>95.82997986074777</v>
      </c>
      <c r="Y3" s="119">
        <v>0.65243834997357075</v>
      </c>
      <c r="Z3" s="119">
        <v>11.301928495218704</v>
      </c>
      <c r="AA3" s="119">
        <v>15.090098601771832</v>
      </c>
      <c r="AB3" s="119">
        <f>P3+S3+T3</f>
        <v>73.607972903009468</v>
      </c>
    </row>
    <row r="4" spans="1:28" x14ac:dyDescent="0.25">
      <c r="A4" t="s">
        <v>85</v>
      </c>
      <c r="B4" s="70">
        <v>3.3318834275772073</v>
      </c>
      <c r="C4" s="66">
        <v>4.859335038363171E-2</v>
      </c>
      <c r="D4" s="66">
        <v>4.4910179640718563E-2</v>
      </c>
      <c r="E4" s="71">
        <v>2.9617441382147267E-2</v>
      </c>
      <c r="F4" s="70">
        <v>1.1307767944936087</v>
      </c>
      <c r="G4" s="66">
        <v>0.43441466854724964</v>
      </c>
      <c r="H4" s="66">
        <v>0.41016031646887358</v>
      </c>
      <c r="I4" s="66">
        <v>1.3997667055490752</v>
      </c>
      <c r="J4" s="71">
        <v>0</v>
      </c>
      <c r="K4" s="66"/>
      <c r="L4" s="118">
        <f t="shared" si="0"/>
        <v>96.43644530690861</v>
      </c>
      <c r="M4" s="119">
        <f t="shared" si="1"/>
        <v>1.4064627645025727</v>
      </c>
      <c r="N4" s="119">
        <f t="shared" si="2"/>
        <v>1.2998588266321445</v>
      </c>
      <c r="O4" s="119">
        <f t="shared" si="3"/>
        <v>0.85723310195666569</v>
      </c>
      <c r="P4" s="118">
        <f t="shared" ref="P4:P16" si="4">(F4/SUM($F4:$J4))*100</f>
        <v>33.503321424104207</v>
      </c>
      <c r="Q4" s="119">
        <f t="shared" ref="Q4:Q16" si="5">(G4/SUM($F4:$J4))*100</f>
        <v>12.871093873306808</v>
      </c>
      <c r="R4" s="119">
        <f t="shared" ref="R4:R16" si="6">(H4/SUM($F4:$J4))*100</f>
        <v>12.152471632761868</v>
      </c>
      <c r="S4" s="119">
        <f t="shared" ref="S4:S16" si="7">(I4/SUM($F4:$J4))*100</f>
        <v>41.473113069827122</v>
      </c>
      <c r="T4" s="120">
        <f t="shared" ref="T4:T16" si="8">(J4/SUM($F4:$J4))*100</f>
        <v>0</v>
      </c>
      <c r="V4" t="s">
        <v>85</v>
      </c>
      <c r="W4" s="119">
        <v>1.2998588266321445</v>
      </c>
      <c r="X4" s="119">
        <f t="shared" ref="X4:X16" si="9">L4+M4</f>
        <v>97.842908071411188</v>
      </c>
      <c r="Y4" s="119">
        <v>0.85723310195666569</v>
      </c>
      <c r="Z4" s="119">
        <v>12.871093873306808</v>
      </c>
      <c r="AA4" s="119">
        <v>12.152471632761868</v>
      </c>
      <c r="AB4" s="119">
        <f t="shared" ref="AB4:AB16" si="10">P4+S4+T4</f>
        <v>74.976434493931322</v>
      </c>
    </row>
    <row r="5" spans="1:28" x14ac:dyDescent="0.25">
      <c r="A5" t="s">
        <v>86</v>
      </c>
      <c r="B5" s="70">
        <v>3.2666376685515441</v>
      </c>
      <c r="C5" s="66">
        <v>1.7902813299232736E-2</v>
      </c>
      <c r="D5" s="66">
        <v>0.70858283433133729</v>
      </c>
      <c r="E5" s="71">
        <v>0.14808720691073635</v>
      </c>
      <c r="F5" s="70">
        <v>3.5562110783349721</v>
      </c>
      <c r="G5" s="66">
        <v>0.38928067700987307</v>
      </c>
      <c r="H5" s="66">
        <v>0.13116801998750779</v>
      </c>
      <c r="I5" s="66">
        <v>0.3332777870354941</v>
      </c>
      <c r="J5" s="71">
        <v>0</v>
      </c>
      <c r="K5" s="66"/>
      <c r="L5" s="118">
        <f t="shared" si="0"/>
        <v>78.881226886090943</v>
      </c>
      <c r="M5" s="119">
        <f t="shared" si="1"/>
        <v>0.43230869813066342</v>
      </c>
      <c r="N5" s="119">
        <f t="shared" si="2"/>
        <v>17.110524335336962</v>
      </c>
      <c r="O5" s="119">
        <f t="shared" si="3"/>
        <v>3.5759400804414523</v>
      </c>
      <c r="P5" s="118">
        <f t="shared" si="4"/>
        <v>80.640848720441312</v>
      </c>
      <c r="Q5" s="119">
        <f t="shared" si="5"/>
        <v>8.8273512153957778</v>
      </c>
      <c r="R5" s="119">
        <f t="shared" si="6"/>
        <v>2.9743736307477149</v>
      </c>
      <c r="S5" s="119">
        <f t="shared" si="7"/>
        <v>7.5574264334152126</v>
      </c>
      <c r="T5" s="120">
        <f t="shared" si="8"/>
        <v>0</v>
      </c>
      <c r="V5" t="s">
        <v>86</v>
      </c>
      <c r="W5" s="119">
        <v>17.110524335336962</v>
      </c>
      <c r="X5" s="119">
        <f t="shared" si="9"/>
        <v>79.313535584221611</v>
      </c>
      <c r="Y5" s="119">
        <v>3.5759400804414523</v>
      </c>
      <c r="Z5" s="119">
        <v>8.8273512153957778</v>
      </c>
      <c r="AA5" s="119">
        <v>2.9743736307477149</v>
      </c>
      <c r="AB5" s="119">
        <f t="shared" si="10"/>
        <v>88.198275153856528</v>
      </c>
    </row>
    <row r="6" spans="1:28" x14ac:dyDescent="0.25">
      <c r="A6" t="s">
        <v>130</v>
      </c>
      <c r="B6" s="70">
        <v>3.0056546324488909</v>
      </c>
      <c r="C6" s="66">
        <v>3.3248081841432228E-2</v>
      </c>
      <c r="D6" s="66">
        <v>0.23952095808383234</v>
      </c>
      <c r="E6" s="71">
        <v>3.2414644179350063</v>
      </c>
      <c r="F6" s="70">
        <v>4.6050475254015071</v>
      </c>
      <c r="G6" s="66">
        <v>1.7545839210155147</v>
      </c>
      <c r="H6" s="66">
        <v>0.11867582760774516</v>
      </c>
      <c r="I6" s="66">
        <v>0.3332777870354941</v>
      </c>
      <c r="J6" s="71">
        <v>0</v>
      </c>
      <c r="K6" s="66"/>
      <c r="L6" s="118">
        <f t="shared" si="0"/>
        <v>46.099788689875624</v>
      </c>
      <c r="M6" s="119">
        <f t="shared" si="1"/>
        <v>0.50994865833434366</v>
      </c>
      <c r="N6" s="119">
        <f t="shared" si="2"/>
        <v>3.6736973820124983</v>
      </c>
      <c r="O6" s="119">
        <f t="shared" si="3"/>
        <v>49.716565269777533</v>
      </c>
      <c r="P6" s="118">
        <f t="shared" si="4"/>
        <v>67.606107596411718</v>
      </c>
      <c r="Q6" s="119">
        <f t="shared" si="5"/>
        <v>25.75881979432264</v>
      </c>
      <c r="R6" s="119">
        <f t="shared" si="6"/>
        <v>1.7422644882786296</v>
      </c>
      <c r="S6" s="119">
        <f t="shared" si="7"/>
        <v>4.892808120987004</v>
      </c>
      <c r="T6" s="120">
        <f t="shared" si="8"/>
        <v>0</v>
      </c>
      <c r="V6" t="s">
        <v>130</v>
      </c>
      <c r="W6" s="119">
        <v>3.6736973820124983</v>
      </c>
      <c r="X6" s="119">
        <f t="shared" si="9"/>
        <v>46.609737348209968</v>
      </c>
      <c r="Y6" s="119">
        <v>49.716565269777533</v>
      </c>
      <c r="Z6" s="119">
        <v>25.75881979432264</v>
      </c>
      <c r="AA6" s="119">
        <v>1.7422644882786296</v>
      </c>
      <c r="AB6" s="119">
        <f t="shared" si="10"/>
        <v>72.498915717398717</v>
      </c>
    </row>
    <row r="7" spans="1:28" x14ac:dyDescent="0.25">
      <c r="A7" t="s">
        <v>88</v>
      </c>
      <c r="B7" s="70">
        <v>2.4619399739016967</v>
      </c>
      <c r="C7" s="66">
        <v>3.5805626598465472E-2</v>
      </c>
      <c r="D7" s="66">
        <v>7.4850299401197612E-2</v>
      </c>
      <c r="E7" s="71">
        <v>2.3035787741670099E-2</v>
      </c>
      <c r="F7" s="70">
        <v>1.5896427400852178</v>
      </c>
      <c r="G7" s="66">
        <v>0.21156558533145273</v>
      </c>
      <c r="H7" s="66">
        <v>0.1394961482406829</v>
      </c>
      <c r="I7" s="66">
        <v>0.53324445925679054</v>
      </c>
      <c r="J7" s="71">
        <v>0</v>
      </c>
      <c r="K7" s="66"/>
      <c r="L7" s="118">
        <f t="shared" si="0"/>
        <v>94.849357311447662</v>
      </c>
      <c r="M7" s="119">
        <f t="shared" si="1"/>
        <v>1.3794571382729135</v>
      </c>
      <c r="N7" s="119">
        <f t="shared" si="2"/>
        <v>2.8837026361457938</v>
      </c>
      <c r="O7" s="119">
        <f t="shared" si="3"/>
        <v>0.88748291413362279</v>
      </c>
      <c r="P7" s="118">
        <f t="shared" si="4"/>
        <v>64.255277016277233</v>
      </c>
      <c r="Q7" s="119">
        <f t="shared" si="5"/>
        <v>8.5517361541591264</v>
      </c>
      <c r="R7" s="119">
        <f t="shared" si="6"/>
        <v>5.6386025752102293</v>
      </c>
      <c r="S7" s="119">
        <f t="shared" si="7"/>
        <v>21.554384254353415</v>
      </c>
      <c r="T7" s="120">
        <f t="shared" si="8"/>
        <v>0</v>
      </c>
      <c r="V7" t="s">
        <v>88</v>
      </c>
      <c r="W7" s="119">
        <v>2.8837026361457938</v>
      </c>
      <c r="X7" s="119">
        <f t="shared" si="9"/>
        <v>96.228814449720574</v>
      </c>
      <c r="Y7" s="119">
        <v>0.88748291413362279</v>
      </c>
      <c r="Z7" s="119">
        <v>8.5517361541591264</v>
      </c>
      <c r="AA7" s="119">
        <v>5.6386025752102293</v>
      </c>
      <c r="AB7" s="119">
        <f t="shared" si="10"/>
        <v>85.809661270630642</v>
      </c>
    </row>
    <row r="8" spans="1:28" x14ac:dyDescent="0.25">
      <c r="A8" t="s">
        <v>52</v>
      </c>
      <c r="B8" s="70">
        <v>4.4584602000869946</v>
      </c>
      <c r="C8" s="66">
        <v>3.0690537084398974E-2</v>
      </c>
      <c r="D8" s="66">
        <v>0.1347305389221557</v>
      </c>
      <c r="E8" s="71">
        <v>0.14808720691073635</v>
      </c>
      <c r="F8" s="70">
        <v>3.3595542445099964</v>
      </c>
      <c r="G8" s="66">
        <v>0.56417489421720723</v>
      </c>
      <c r="H8" s="66">
        <v>5.2050801582344368E-2</v>
      </c>
      <c r="I8" s="66">
        <v>0.56657223796033995</v>
      </c>
      <c r="J8" s="71">
        <v>0</v>
      </c>
      <c r="K8" s="66"/>
      <c r="L8" s="118">
        <f t="shared" si="0"/>
        <v>93.430210529808107</v>
      </c>
      <c r="M8" s="119">
        <f t="shared" si="1"/>
        <v>0.64314207425521697</v>
      </c>
      <c r="N8" s="119">
        <f t="shared" si="2"/>
        <v>2.8233744502296769</v>
      </c>
      <c r="O8" s="119">
        <f t="shared" si="3"/>
        <v>3.1032729457069919</v>
      </c>
      <c r="P8" s="118">
        <f t="shared" si="4"/>
        <v>73.960673075542971</v>
      </c>
      <c r="Q8" s="119">
        <f t="shared" si="5"/>
        <v>12.420324802558413</v>
      </c>
      <c r="R8" s="119">
        <f t="shared" si="6"/>
        <v>1.1458997351933577</v>
      </c>
      <c r="S8" s="119">
        <f t="shared" si="7"/>
        <v>12.473102386705264</v>
      </c>
      <c r="T8" s="120">
        <f t="shared" si="8"/>
        <v>0</v>
      </c>
      <c r="V8" t="s">
        <v>52</v>
      </c>
      <c r="W8" s="119">
        <v>2.8233744502296769</v>
      </c>
      <c r="X8" s="119">
        <f t="shared" si="9"/>
        <v>94.073352604063331</v>
      </c>
      <c r="Y8" s="119">
        <v>3.1032729457069919</v>
      </c>
      <c r="Z8" s="119">
        <v>12.420324802558413</v>
      </c>
      <c r="AA8" s="119">
        <v>1.1458997351933577</v>
      </c>
      <c r="AB8" s="119">
        <f t="shared" si="10"/>
        <v>86.433775462248235</v>
      </c>
    </row>
    <row r="9" spans="1:28" x14ac:dyDescent="0.25">
      <c r="A9" t="s">
        <v>89</v>
      </c>
      <c r="B9" s="70">
        <v>1.283166594171379</v>
      </c>
      <c r="C9" s="66">
        <v>8.1841432225063945E-2</v>
      </c>
      <c r="D9" s="66">
        <v>1.4071856287425151</v>
      </c>
      <c r="E9" s="71">
        <v>1.6454134101192928E-2</v>
      </c>
      <c r="F9" s="70">
        <v>0.16388069485414616</v>
      </c>
      <c r="G9" s="66">
        <v>0.32157968970380818</v>
      </c>
      <c r="H9" s="66">
        <v>1.0410160316468874E-2</v>
      </c>
      <c r="I9" s="66">
        <v>0.36660556573904352</v>
      </c>
      <c r="J9" s="71">
        <v>2.0576131687242798</v>
      </c>
      <c r="K9" s="66"/>
      <c r="L9" s="118">
        <f t="shared" si="0"/>
        <v>46.013935468021785</v>
      </c>
      <c r="M9" s="119">
        <f t="shared" si="1"/>
        <v>2.9348070610008463</v>
      </c>
      <c r="N9" s="119">
        <f t="shared" si="2"/>
        <v>50.46121758983211</v>
      </c>
      <c r="O9" s="119">
        <f t="shared" si="3"/>
        <v>0.59003988114527517</v>
      </c>
      <c r="P9" s="118">
        <f t="shared" si="4"/>
        <v>5.6121809704158432</v>
      </c>
      <c r="Q9" s="119">
        <f t="shared" si="5"/>
        <v>11.012666358500516</v>
      </c>
      <c r="R9" s="119">
        <f t="shared" si="6"/>
        <v>0.35650143953234936</v>
      </c>
      <c r="S9" s="119">
        <f t="shared" si="7"/>
        <v>12.554601269663468</v>
      </c>
      <c r="T9" s="120">
        <f t="shared" si="8"/>
        <v>70.464049961887824</v>
      </c>
      <c r="V9" t="s">
        <v>89</v>
      </c>
      <c r="W9" s="119">
        <v>50.46121758983211</v>
      </c>
      <c r="X9" s="119">
        <f t="shared" si="9"/>
        <v>48.948742529022631</v>
      </c>
      <c r="Y9" s="119">
        <v>0.59003988114527517</v>
      </c>
      <c r="Z9" s="119">
        <v>11.012666358500516</v>
      </c>
      <c r="AA9" s="119">
        <v>0.35650143953234936</v>
      </c>
      <c r="AB9" s="119">
        <f t="shared" si="10"/>
        <v>88.630832201967138</v>
      </c>
    </row>
    <row r="10" spans="1:28" x14ac:dyDescent="0.25">
      <c r="A10" t="s">
        <v>90</v>
      </c>
      <c r="B10" s="70">
        <v>0.68725532840365389</v>
      </c>
      <c r="C10" s="66">
        <v>1.7902813299232736E-2</v>
      </c>
      <c r="D10" s="66">
        <v>1.3373253493013972</v>
      </c>
      <c r="E10" s="71">
        <v>1.5631427396133279E-2</v>
      </c>
      <c r="F10" s="70">
        <v>0.16388069485414616</v>
      </c>
      <c r="G10" s="66">
        <v>0.29619181946403383</v>
      </c>
      <c r="H10" s="66">
        <v>1.4574224443056422E-2</v>
      </c>
      <c r="I10" s="66">
        <v>0.39993334444259293</v>
      </c>
      <c r="J10" s="71">
        <v>1.2933568489124043</v>
      </c>
      <c r="K10" s="66"/>
      <c r="L10" s="118">
        <f t="shared" si="0"/>
        <v>33.392466196095313</v>
      </c>
      <c r="M10" s="119">
        <f t="shared" si="1"/>
        <v>0.86986460955965195</v>
      </c>
      <c r="N10" s="119">
        <f t="shared" si="2"/>
        <v>64.978167027756498</v>
      </c>
      <c r="O10" s="119">
        <f t="shared" si="3"/>
        <v>0.7595021665885473</v>
      </c>
      <c r="P10" s="118">
        <f t="shared" si="4"/>
        <v>7.5592925433570564</v>
      </c>
      <c r="Q10" s="119">
        <f t="shared" si="5"/>
        <v>13.662381736119322</v>
      </c>
      <c r="R10" s="119">
        <f t="shared" si="6"/>
        <v>0.6722623812137275</v>
      </c>
      <c r="S10" s="119">
        <f t="shared" si="7"/>
        <v>18.447646632053896</v>
      </c>
      <c r="T10" s="120">
        <f t="shared" si="8"/>
        <v>59.658416707256002</v>
      </c>
      <c r="V10" t="s">
        <v>90</v>
      </c>
      <c r="W10" s="119">
        <v>64.978167027756498</v>
      </c>
      <c r="X10" s="119">
        <f t="shared" si="9"/>
        <v>34.262330805654962</v>
      </c>
      <c r="Y10" s="119">
        <v>0.7595021665885473</v>
      </c>
      <c r="Z10" s="119">
        <v>13.662381736119322</v>
      </c>
      <c r="AA10" s="119">
        <v>0.6722623812137275</v>
      </c>
      <c r="AB10" s="119">
        <f t="shared" si="10"/>
        <v>85.665355882666958</v>
      </c>
    </row>
    <row r="11" spans="1:28" x14ac:dyDescent="0.25">
      <c r="A11" t="s">
        <v>91</v>
      </c>
      <c r="B11" s="70">
        <v>4.2061765985210968</v>
      </c>
      <c r="C11" s="66">
        <v>9.2071611253196933E-2</v>
      </c>
      <c r="D11" s="66">
        <v>2.2604790419161676</v>
      </c>
      <c r="E11" s="71">
        <v>1.4808720691073633E-2</v>
      </c>
      <c r="F11" s="70">
        <v>0.16388069485414616</v>
      </c>
      <c r="G11" s="66">
        <v>0.97320169252468258</v>
      </c>
      <c r="H11" s="66">
        <v>1.0410160316468874E-2</v>
      </c>
      <c r="I11" s="66">
        <v>0.56657223796033995</v>
      </c>
      <c r="J11" s="71">
        <v>4.8089359200470305</v>
      </c>
      <c r="K11" s="66"/>
      <c r="L11" s="118">
        <f t="shared" si="0"/>
        <v>63.986515266565668</v>
      </c>
      <c r="M11" s="119">
        <f t="shared" si="1"/>
        <v>1.4006405630095029</v>
      </c>
      <c r="N11" s="119">
        <f t="shared" si="2"/>
        <v>34.387566317633087</v>
      </c>
      <c r="O11" s="119">
        <f t="shared" si="3"/>
        <v>0.22527785279173826</v>
      </c>
      <c r="P11" s="118">
        <f t="shared" si="4"/>
        <v>2.5123513279842991</v>
      </c>
      <c r="Q11" s="119">
        <f t="shared" si="5"/>
        <v>14.919539893256042</v>
      </c>
      <c r="R11" s="119">
        <f t="shared" si="6"/>
        <v>0.15959158654341241</v>
      </c>
      <c r="S11" s="119">
        <f t="shared" si="7"/>
        <v>8.685760795104926</v>
      </c>
      <c r="T11" s="120">
        <f t="shared" si="8"/>
        <v>73.72275639711134</v>
      </c>
      <c r="V11" t="s">
        <v>91</v>
      </c>
      <c r="W11" s="119">
        <v>34.387566317633087</v>
      </c>
      <c r="X11" s="119">
        <f t="shared" si="9"/>
        <v>65.387155829575164</v>
      </c>
      <c r="Y11" s="119">
        <v>0.22527785279173826</v>
      </c>
      <c r="Z11" s="119">
        <v>14.919539893256042</v>
      </c>
      <c r="AA11" s="119">
        <v>0.15959158654341241</v>
      </c>
      <c r="AB11" s="119">
        <f t="shared" si="10"/>
        <v>84.920868520200571</v>
      </c>
    </row>
    <row r="12" spans="1:28" x14ac:dyDescent="0.25">
      <c r="A12" t="s">
        <v>93</v>
      </c>
      <c r="B12" s="70">
        <v>1.2092214006089606</v>
      </c>
      <c r="C12" s="66">
        <v>8.1841432225063945E-2</v>
      </c>
      <c r="D12" s="66">
        <v>0.95808383233532934</v>
      </c>
      <c r="E12" s="71">
        <v>1.974496092143151E-2</v>
      </c>
      <c r="F12" s="70">
        <v>0.16388069485414616</v>
      </c>
      <c r="G12" s="66">
        <v>0.65444287729196049</v>
      </c>
      <c r="H12" s="66">
        <v>1.0410160316468874E-2</v>
      </c>
      <c r="I12" s="66">
        <v>0.3332777870354941</v>
      </c>
      <c r="J12" s="71">
        <v>1.5285126396237505</v>
      </c>
      <c r="K12" s="66"/>
      <c r="L12" s="118">
        <f t="shared" si="0"/>
        <v>53.295687934306649</v>
      </c>
      <c r="M12" s="119">
        <f t="shared" si="1"/>
        <v>3.6071106827642376</v>
      </c>
      <c r="N12" s="119">
        <f t="shared" si="2"/>
        <v>42.226954400024461</v>
      </c>
      <c r="O12" s="119">
        <f t="shared" si="3"/>
        <v>0.87024698290465874</v>
      </c>
      <c r="P12" s="118">
        <f t="shared" si="4"/>
        <v>6.091032273340983</v>
      </c>
      <c r="Q12" s="119">
        <f t="shared" si="5"/>
        <v>24.32399185389842</v>
      </c>
      <c r="R12" s="119">
        <f t="shared" si="6"/>
        <v>0.38691941424033605</v>
      </c>
      <c r="S12" s="119">
        <f t="shared" si="7"/>
        <v>12.387095128120874</v>
      </c>
      <c r="T12" s="120">
        <f t="shared" si="8"/>
        <v>56.810961330399387</v>
      </c>
      <c r="V12" t="s">
        <v>93</v>
      </c>
      <c r="W12" s="119">
        <v>42.226954400024461</v>
      </c>
      <c r="X12" s="119">
        <f t="shared" si="9"/>
        <v>56.902798617070886</v>
      </c>
      <c r="Y12" s="119">
        <v>0.87024698290465874</v>
      </c>
      <c r="Z12" s="119">
        <v>24.32399185389842</v>
      </c>
      <c r="AA12" s="119">
        <v>0.38691941424033605</v>
      </c>
      <c r="AB12" s="119">
        <f t="shared" si="10"/>
        <v>75.289088731861241</v>
      </c>
    </row>
    <row r="13" spans="1:28" x14ac:dyDescent="0.25">
      <c r="A13" t="s">
        <v>92</v>
      </c>
      <c r="B13" s="70">
        <v>0.58286211396259247</v>
      </c>
      <c r="C13" s="66">
        <v>3.8363171355498722E-2</v>
      </c>
      <c r="D13" s="66">
        <v>1.1227544910179641</v>
      </c>
      <c r="E13" s="71">
        <v>1.8099547511312219E-2</v>
      </c>
      <c r="F13" s="70">
        <v>0.16388069485414616</v>
      </c>
      <c r="G13" s="66">
        <v>0.30747531734837796</v>
      </c>
      <c r="H13" s="66">
        <v>1.0410160316468874E-2</v>
      </c>
      <c r="I13" s="66">
        <v>0.43326112314614235</v>
      </c>
      <c r="J13" s="71">
        <v>0.99941211052322154</v>
      </c>
      <c r="K13" s="66"/>
      <c r="L13" s="118">
        <f t="shared" si="0"/>
        <v>33.078085990473852</v>
      </c>
      <c r="M13" s="119">
        <f t="shared" si="1"/>
        <v>2.1771534820427734</v>
      </c>
      <c r="N13" s="119">
        <f t="shared" si="2"/>
        <v>63.717590679545246</v>
      </c>
      <c r="O13" s="119">
        <f t="shared" si="3"/>
        <v>1.027169847938129</v>
      </c>
      <c r="P13" s="118">
        <f t="shared" si="4"/>
        <v>8.5602445459703596</v>
      </c>
      <c r="Q13" s="119">
        <f t="shared" si="5"/>
        <v>16.060853968763649</v>
      </c>
      <c r="R13" s="119">
        <f t="shared" si="6"/>
        <v>0.54377068727369504</v>
      </c>
      <c r="S13" s="119">
        <f t="shared" si="7"/>
        <v>22.631226757328609</v>
      </c>
      <c r="T13" s="120">
        <f t="shared" si="8"/>
        <v>52.203904040663687</v>
      </c>
      <c r="V13" t="s">
        <v>92</v>
      </c>
      <c r="W13" s="119">
        <v>63.717590679545246</v>
      </c>
      <c r="X13" s="119">
        <f t="shared" si="9"/>
        <v>35.255239472516628</v>
      </c>
      <c r="Y13" s="119">
        <v>1.027169847938129</v>
      </c>
      <c r="Z13" s="119">
        <v>16.060853968763649</v>
      </c>
      <c r="AA13" s="119">
        <v>0.54377068727369504</v>
      </c>
      <c r="AB13" s="119">
        <f t="shared" si="10"/>
        <v>83.395375343962655</v>
      </c>
    </row>
    <row r="14" spans="1:28" x14ac:dyDescent="0.25">
      <c r="A14" t="s">
        <v>94</v>
      </c>
      <c r="B14" s="70">
        <v>0.98738581992170515</v>
      </c>
      <c r="C14" s="66">
        <v>9.718670076726342E-2</v>
      </c>
      <c r="D14" s="66">
        <v>0.66866267465069862</v>
      </c>
      <c r="E14" s="71">
        <v>2.4681201151789386E-2</v>
      </c>
      <c r="F14" s="70">
        <v>0.16388069485414616</v>
      </c>
      <c r="G14" s="66">
        <v>0.27362482369534552</v>
      </c>
      <c r="H14" s="66">
        <v>1.0410160316468874E-2</v>
      </c>
      <c r="I14" s="66">
        <v>0.6665555740709882</v>
      </c>
      <c r="J14" s="71">
        <v>0.88183421516754845</v>
      </c>
      <c r="K14" s="66"/>
      <c r="L14" s="118">
        <f t="shared" si="0"/>
        <v>55.536122051082614</v>
      </c>
      <c r="M14" s="119">
        <f t="shared" si="1"/>
        <v>5.4663256922008161</v>
      </c>
      <c r="N14" s="119">
        <f t="shared" si="2"/>
        <v>37.609342934810584</v>
      </c>
      <c r="O14" s="119">
        <f t="shared" si="3"/>
        <v>1.3882093219059857</v>
      </c>
      <c r="P14" s="118">
        <f t="shared" si="4"/>
        <v>8.2091993170640247</v>
      </c>
      <c r="Q14" s="119">
        <f t="shared" si="5"/>
        <v>13.706560847882351</v>
      </c>
      <c r="R14" s="119">
        <f t="shared" si="6"/>
        <v>0.52147131202086916</v>
      </c>
      <c r="S14" s="119">
        <f t="shared" si="7"/>
        <v>33.389457912164431</v>
      </c>
      <c r="T14" s="120">
        <f t="shared" si="8"/>
        <v>44.173310610868327</v>
      </c>
      <c r="V14" t="s">
        <v>94</v>
      </c>
      <c r="W14" s="119">
        <v>37.609342934810584</v>
      </c>
      <c r="X14" s="119">
        <f t="shared" si="9"/>
        <v>61.002447743283433</v>
      </c>
      <c r="Y14" s="119">
        <v>1.3882093219059857</v>
      </c>
      <c r="Z14" s="119">
        <v>13.706560847882351</v>
      </c>
      <c r="AA14" s="119">
        <v>0.52147131202086916</v>
      </c>
      <c r="AB14" s="119">
        <f t="shared" si="10"/>
        <v>85.771967840096778</v>
      </c>
    </row>
    <row r="15" spans="1:28" x14ac:dyDescent="0.25">
      <c r="B15" s="70"/>
      <c r="C15" s="66"/>
      <c r="D15" s="66"/>
      <c r="E15" s="71"/>
      <c r="F15" s="70"/>
      <c r="G15" s="66"/>
      <c r="H15" s="66"/>
      <c r="I15" s="66"/>
      <c r="J15" s="71"/>
      <c r="K15" s="66"/>
      <c r="L15" s="118"/>
      <c r="M15" s="119"/>
      <c r="N15" s="119"/>
      <c r="O15" s="119"/>
      <c r="P15" s="118"/>
      <c r="Q15" s="119"/>
      <c r="R15" s="119"/>
      <c r="S15" s="119"/>
      <c r="T15" s="120"/>
      <c r="W15" s="119"/>
      <c r="X15" s="119"/>
      <c r="Y15" s="119"/>
      <c r="Z15" s="119"/>
      <c r="AA15" s="119"/>
      <c r="AB15" s="119"/>
    </row>
    <row r="16" spans="1:28" s="21" customFormat="1" ht="15.75" thickBot="1" x14ac:dyDescent="0.3">
      <c r="A16" s="21" t="s">
        <v>132</v>
      </c>
      <c r="B16" s="72">
        <v>1.5224010439321445</v>
      </c>
      <c r="C16" s="73">
        <v>0.12020460358056266</v>
      </c>
      <c r="D16" s="73">
        <v>1.1477045908183634</v>
      </c>
      <c r="E16" s="74">
        <v>0.38667215137803379</v>
      </c>
      <c r="F16" s="72">
        <v>2.8023598820058995</v>
      </c>
      <c r="G16" s="73">
        <v>0.26798307475317346</v>
      </c>
      <c r="H16" s="73">
        <v>2.0820320632937747E-2</v>
      </c>
      <c r="I16" s="73">
        <v>0</v>
      </c>
      <c r="J16" s="74">
        <v>0</v>
      </c>
      <c r="K16" s="66"/>
      <c r="L16" s="116">
        <f>(B16/SUM($B16:$E16))*100</f>
        <v>47.919719318039441</v>
      </c>
      <c r="M16" s="117">
        <f>(C16/SUM($B16:$E16))*100</f>
        <v>3.7836093763040668</v>
      </c>
      <c r="N16" s="117">
        <f>(D16/SUM($B16:$E16))*100</f>
        <v>36.12562016509797</v>
      </c>
      <c r="O16" s="117">
        <f>(E16/SUM($B16:$E16))*100</f>
        <v>12.171051140558538</v>
      </c>
      <c r="P16" s="116">
        <f t="shared" si="4"/>
        <v>90.657129065347448</v>
      </c>
      <c r="Q16" s="117">
        <f t="shared" si="5"/>
        <v>8.6693277159810407</v>
      </c>
      <c r="R16" s="117">
        <f t="shared" si="6"/>
        <v>0.67354321867150557</v>
      </c>
      <c r="S16" s="117">
        <f t="shared" si="7"/>
        <v>0</v>
      </c>
      <c r="T16" s="121">
        <f t="shared" si="8"/>
        <v>0</v>
      </c>
      <c r="V16" s="21" t="s">
        <v>132</v>
      </c>
      <c r="W16" s="122">
        <v>36.12562016509797</v>
      </c>
      <c r="X16" s="122">
        <f t="shared" si="9"/>
        <v>51.703328694343504</v>
      </c>
      <c r="Y16" s="122">
        <v>12.171051140558538</v>
      </c>
      <c r="Z16" s="122">
        <v>8.6693277159810407</v>
      </c>
      <c r="AA16" s="122">
        <v>0.67354321867150557</v>
      </c>
      <c r="AB16" s="122">
        <f t="shared" si="10"/>
        <v>90.657129065347448</v>
      </c>
    </row>
  </sheetData>
  <mergeCells count="2">
    <mergeCell ref="L1:T1"/>
    <mergeCell ref="B1:J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9AE53-14B5-4345-BA48-F6CA8AF94CDD}">
  <dimension ref="A1:I14"/>
  <sheetViews>
    <sheetView workbookViewId="0">
      <selection activeCell="J14" sqref="J14"/>
    </sheetView>
  </sheetViews>
  <sheetFormatPr defaultRowHeight="15" x14ac:dyDescent="0.25"/>
  <cols>
    <col min="1" max="1" width="17.140625" bestFit="1" customWidth="1"/>
    <col min="2" max="6" width="8.140625" customWidth="1"/>
    <col min="7" max="7" width="17.28515625" customWidth="1"/>
    <col min="8" max="9" width="8.140625" customWidth="1"/>
  </cols>
  <sheetData>
    <row r="1" spans="1:9" x14ac:dyDescent="0.25">
      <c r="A1" s="78" t="s">
        <v>67</v>
      </c>
      <c r="B1" s="79" t="s">
        <v>82</v>
      </c>
      <c r="C1" s="79" t="s">
        <v>140</v>
      </c>
      <c r="D1" s="79" t="s">
        <v>81</v>
      </c>
      <c r="E1" s="79" t="s">
        <v>78</v>
      </c>
      <c r="F1" s="79" t="s">
        <v>77</v>
      </c>
      <c r="G1" s="79" t="s">
        <v>141</v>
      </c>
      <c r="H1" s="79" t="s">
        <v>144</v>
      </c>
      <c r="I1" s="79"/>
    </row>
    <row r="2" spans="1:9" x14ac:dyDescent="0.25">
      <c r="A2" t="s">
        <v>64</v>
      </c>
      <c r="B2" s="119">
        <v>3.5175817892786663</v>
      </c>
      <c r="C2" s="119">
        <v>95.82997986074777</v>
      </c>
      <c r="D2" s="119">
        <v>0.65243834997357075</v>
      </c>
      <c r="E2" s="119">
        <v>11.301928495218704</v>
      </c>
      <c r="F2" s="119">
        <v>15.090098601771832</v>
      </c>
      <c r="G2" s="119">
        <v>73.607972903009468</v>
      </c>
      <c r="H2" s="80" t="s">
        <v>142</v>
      </c>
      <c r="I2" s="80"/>
    </row>
    <row r="3" spans="1:9" x14ac:dyDescent="0.25">
      <c r="A3" t="s">
        <v>85</v>
      </c>
      <c r="B3" s="119">
        <v>1.2998588266321445</v>
      </c>
      <c r="C3" s="119">
        <v>97.842908071411188</v>
      </c>
      <c r="D3" s="119">
        <v>0.85723310195666569</v>
      </c>
      <c r="E3" s="119">
        <v>12.871093873306808</v>
      </c>
      <c r="F3" s="119">
        <v>12.152471632761868</v>
      </c>
      <c r="G3" s="119">
        <v>74.976434493931322</v>
      </c>
      <c r="H3" s="80" t="s">
        <v>142</v>
      </c>
      <c r="I3" s="80"/>
    </row>
    <row r="4" spans="1:9" x14ac:dyDescent="0.25">
      <c r="A4" t="s">
        <v>86</v>
      </c>
      <c r="B4" s="119">
        <v>17.110524335336962</v>
      </c>
      <c r="C4" s="119">
        <v>79.313535584221611</v>
      </c>
      <c r="D4" s="119">
        <v>3.5759400804414523</v>
      </c>
      <c r="E4" s="119">
        <v>8.8273512153957778</v>
      </c>
      <c r="F4" s="119">
        <v>2.9743736307477149</v>
      </c>
      <c r="G4" s="119">
        <v>88.198275153856528</v>
      </c>
      <c r="H4" s="80" t="s">
        <v>142</v>
      </c>
      <c r="I4" s="80"/>
    </row>
    <row r="5" spans="1:9" x14ac:dyDescent="0.25">
      <c r="A5" t="s">
        <v>130</v>
      </c>
      <c r="B5" s="119">
        <v>3.6736973820124983</v>
      </c>
      <c r="C5" s="119">
        <v>46.609737348209968</v>
      </c>
      <c r="D5" s="119">
        <v>49.716565269777533</v>
      </c>
      <c r="E5" s="119">
        <v>25.75881979432264</v>
      </c>
      <c r="F5" s="119">
        <v>1.7422644882786296</v>
      </c>
      <c r="G5" s="119">
        <v>72.498915717398717</v>
      </c>
      <c r="H5" s="80" t="s">
        <v>142</v>
      </c>
      <c r="I5" s="80"/>
    </row>
    <row r="6" spans="1:9" x14ac:dyDescent="0.25">
      <c r="A6" t="s">
        <v>88</v>
      </c>
      <c r="B6" s="119">
        <v>2.8837026361457938</v>
      </c>
      <c r="C6" s="119">
        <v>96.228814449720574</v>
      </c>
      <c r="D6" s="119">
        <v>0.88748291413362279</v>
      </c>
      <c r="E6" s="119">
        <v>8.5517361541591264</v>
      </c>
      <c r="F6" s="119">
        <v>5.6386025752102293</v>
      </c>
      <c r="G6" s="119">
        <v>85.809661270630642</v>
      </c>
      <c r="H6" s="80" t="s">
        <v>142</v>
      </c>
      <c r="I6" s="80"/>
    </row>
    <row r="7" spans="1:9" x14ac:dyDescent="0.25">
      <c r="A7" t="s">
        <v>52</v>
      </c>
      <c r="B7" s="119">
        <v>2.8233744502296769</v>
      </c>
      <c r="C7" s="119">
        <v>94.073352604063331</v>
      </c>
      <c r="D7" s="119">
        <v>3.1032729457069919</v>
      </c>
      <c r="E7" s="119">
        <v>12.420324802558413</v>
      </c>
      <c r="F7" s="119">
        <v>1.1458997351933577</v>
      </c>
      <c r="G7" s="119">
        <v>86.433775462248235</v>
      </c>
      <c r="H7" s="80" t="s">
        <v>142</v>
      </c>
      <c r="I7" s="80"/>
    </row>
    <row r="8" spans="1:9" x14ac:dyDescent="0.25">
      <c r="A8" t="s">
        <v>89</v>
      </c>
      <c r="B8" s="119">
        <v>50.46121758983211</v>
      </c>
      <c r="C8" s="119">
        <v>48.948742529022631</v>
      </c>
      <c r="D8" s="119">
        <v>0.59003988114527517</v>
      </c>
      <c r="E8" s="119">
        <v>11.012666358500516</v>
      </c>
      <c r="F8" s="119">
        <v>0.35650143953234936</v>
      </c>
      <c r="G8" s="119">
        <v>88.630832201967138</v>
      </c>
      <c r="H8" s="80" t="s">
        <v>143</v>
      </c>
      <c r="I8" s="80"/>
    </row>
    <row r="9" spans="1:9" x14ac:dyDescent="0.25">
      <c r="A9" t="s">
        <v>90</v>
      </c>
      <c r="B9" s="119">
        <v>64.978167027756498</v>
      </c>
      <c r="C9" s="119">
        <v>34.262330805654962</v>
      </c>
      <c r="D9" s="119">
        <v>0.7595021665885473</v>
      </c>
      <c r="E9" s="119">
        <v>13.662381736119322</v>
      </c>
      <c r="F9" s="119">
        <v>0.6722623812137275</v>
      </c>
      <c r="G9" s="119">
        <v>85.665355882666958</v>
      </c>
      <c r="H9" s="80" t="s">
        <v>143</v>
      </c>
      <c r="I9" s="80"/>
    </row>
    <row r="10" spans="1:9" x14ac:dyDescent="0.25">
      <c r="A10" t="s">
        <v>91</v>
      </c>
      <c r="B10" s="119">
        <v>34.387566317633087</v>
      </c>
      <c r="C10" s="119">
        <v>65.387155829575164</v>
      </c>
      <c r="D10" s="119">
        <v>0.22527785279173826</v>
      </c>
      <c r="E10" s="119">
        <v>14.919539893256042</v>
      </c>
      <c r="F10" s="119">
        <v>0.15959158654341241</v>
      </c>
      <c r="G10" s="119">
        <v>84.920868520200571</v>
      </c>
      <c r="H10" s="80" t="s">
        <v>143</v>
      </c>
      <c r="I10" s="80"/>
    </row>
    <row r="11" spans="1:9" x14ac:dyDescent="0.25">
      <c r="A11" t="s">
        <v>93</v>
      </c>
      <c r="B11" s="119">
        <v>42.226954400024461</v>
      </c>
      <c r="C11" s="119">
        <v>56.902798617070886</v>
      </c>
      <c r="D11" s="119">
        <v>0.87024698290465874</v>
      </c>
      <c r="E11" s="119">
        <v>24.32399185389842</v>
      </c>
      <c r="F11" s="119">
        <v>0.38691941424033605</v>
      </c>
      <c r="G11" s="119">
        <v>75.289088731861241</v>
      </c>
      <c r="H11" s="80" t="s">
        <v>143</v>
      </c>
      <c r="I11" s="80"/>
    </row>
    <row r="12" spans="1:9" x14ac:dyDescent="0.25">
      <c r="A12" t="s">
        <v>92</v>
      </c>
      <c r="B12" s="119">
        <v>63.717590679545246</v>
      </c>
      <c r="C12" s="119">
        <v>35.255239472516628</v>
      </c>
      <c r="D12" s="119">
        <v>1.027169847938129</v>
      </c>
      <c r="E12" s="119">
        <v>16.060853968763649</v>
      </c>
      <c r="F12" s="119">
        <v>0.54377068727369504</v>
      </c>
      <c r="G12" s="119">
        <v>83.395375343962655</v>
      </c>
      <c r="H12" s="80" t="s">
        <v>143</v>
      </c>
      <c r="I12" s="80"/>
    </row>
    <row r="13" spans="1:9" x14ac:dyDescent="0.25">
      <c r="A13" t="s">
        <v>94</v>
      </c>
      <c r="B13" s="119">
        <v>37.609342934810584</v>
      </c>
      <c r="C13" s="119">
        <v>61.002447743283433</v>
      </c>
      <c r="D13" s="119">
        <v>1.3882093219059857</v>
      </c>
      <c r="E13" s="119">
        <v>13.706560847882351</v>
      </c>
      <c r="F13" s="119">
        <v>0.52147131202086916</v>
      </c>
      <c r="G13" s="119">
        <v>85.771967840096778</v>
      </c>
      <c r="H13" s="80" t="s">
        <v>143</v>
      </c>
      <c r="I13" s="80"/>
    </row>
    <row r="14" spans="1:9" x14ac:dyDescent="0.25">
      <c r="A14" t="s">
        <v>132</v>
      </c>
      <c r="B14" s="119">
        <v>36.12562016509797</v>
      </c>
      <c r="C14" s="119">
        <v>51.703328694343504</v>
      </c>
      <c r="D14" s="119">
        <v>12.171051140558538</v>
      </c>
      <c r="E14" s="119">
        <v>8.6693277159810407</v>
      </c>
      <c r="F14" s="119">
        <v>0.67354321867150557</v>
      </c>
      <c r="G14" s="119">
        <v>90.657129065347448</v>
      </c>
      <c r="H14" s="80" t="s">
        <v>145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08A9-E4EB-41EA-9DBE-A4CF31369FF1}">
  <dimension ref="A1:U16"/>
  <sheetViews>
    <sheetView zoomScale="115" zoomScaleNormal="115" workbookViewId="0">
      <selection activeCell="H12" sqref="H12"/>
    </sheetView>
  </sheetViews>
  <sheetFormatPr defaultColWidth="8.85546875" defaultRowHeight="11.25" x14ac:dyDescent="0.2"/>
  <cols>
    <col min="1" max="1" width="13.42578125" style="81" customWidth="1"/>
    <col min="2" max="21" width="4.140625" style="81" customWidth="1"/>
    <col min="22" max="16384" width="8.85546875" style="81"/>
  </cols>
  <sheetData>
    <row r="1" spans="1:21" x14ac:dyDescent="0.2">
      <c r="B1" s="131" t="s">
        <v>136</v>
      </c>
      <c r="C1" s="132"/>
      <c r="D1" s="132"/>
      <c r="E1" s="132"/>
      <c r="F1" s="132"/>
      <c r="G1" s="132"/>
      <c r="H1" s="132"/>
      <c r="I1" s="132"/>
      <c r="J1" s="132"/>
      <c r="K1" s="133"/>
      <c r="L1" s="131" t="s">
        <v>137</v>
      </c>
      <c r="M1" s="132"/>
      <c r="N1" s="132"/>
      <c r="O1" s="132"/>
      <c r="P1" s="132"/>
      <c r="Q1" s="132"/>
      <c r="R1" s="132"/>
      <c r="S1" s="132"/>
      <c r="T1" s="132"/>
      <c r="U1" s="133"/>
    </row>
    <row r="2" spans="1:21" s="90" customFormat="1" ht="22.5" x14ac:dyDescent="0.25">
      <c r="A2" s="82" t="s">
        <v>67</v>
      </c>
      <c r="B2" s="106" t="s">
        <v>84</v>
      </c>
      <c r="C2" s="107" t="s">
        <v>83</v>
      </c>
      <c r="D2" s="107" t="s">
        <v>82</v>
      </c>
      <c r="E2" s="107" t="s">
        <v>81</v>
      </c>
      <c r="F2" s="108" t="s">
        <v>80</v>
      </c>
      <c r="G2" s="108" t="s">
        <v>79</v>
      </c>
      <c r="H2" s="107" t="s">
        <v>78</v>
      </c>
      <c r="I2" s="108" t="s">
        <v>77</v>
      </c>
      <c r="J2" s="108" t="s">
        <v>76</v>
      </c>
      <c r="K2" s="109" t="s">
        <v>75</v>
      </c>
      <c r="L2" s="110" t="s">
        <v>84</v>
      </c>
      <c r="M2" s="111" t="s">
        <v>83</v>
      </c>
      <c r="N2" s="111" t="s">
        <v>82</v>
      </c>
      <c r="O2" s="111" t="s">
        <v>81</v>
      </c>
      <c r="P2" s="111" t="s">
        <v>80</v>
      </c>
      <c r="Q2" s="111" t="s">
        <v>79</v>
      </c>
      <c r="R2" s="111" t="s">
        <v>78</v>
      </c>
      <c r="S2" s="111" t="s">
        <v>77</v>
      </c>
      <c r="T2" s="111" t="s">
        <v>76</v>
      </c>
      <c r="U2" s="112" t="s">
        <v>75</v>
      </c>
    </row>
    <row r="3" spans="1:21" x14ac:dyDescent="0.2">
      <c r="A3" s="103" t="s">
        <v>64</v>
      </c>
      <c r="B3" s="93">
        <v>49.3</v>
      </c>
      <c r="C3" s="84">
        <v>1.2</v>
      </c>
      <c r="D3" s="84">
        <v>1.6</v>
      </c>
      <c r="E3" s="84">
        <v>0.18</v>
      </c>
      <c r="F3" s="84">
        <v>53</v>
      </c>
      <c r="G3" s="84">
        <v>23</v>
      </c>
      <c r="H3" s="84">
        <v>8.9</v>
      </c>
      <c r="I3" s="84">
        <v>16.100000000000001</v>
      </c>
      <c r="J3" s="113">
        <v>0.5</v>
      </c>
      <c r="K3" s="114">
        <v>0</v>
      </c>
      <c r="L3" s="98">
        <v>2.1444106133101348</v>
      </c>
      <c r="M3" s="92">
        <v>3.0690537084398974E-2</v>
      </c>
      <c r="N3" s="92">
        <v>7.9840319361277459E-2</v>
      </c>
      <c r="O3" s="92">
        <v>1.4808720691073633E-2</v>
      </c>
      <c r="P3" s="92">
        <v>0.86856768272697471</v>
      </c>
      <c r="Q3" s="92">
        <v>0.76653891018163645</v>
      </c>
      <c r="R3" s="92">
        <v>0.25105782792665726</v>
      </c>
      <c r="S3" s="92">
        <v>0.33520716219029772</v>
      </c>
      <c r="T3" s="92">
        <v>8.0645161290322578E-3</v>
      </c>
      <c r="U3" s="99">
        <v>0</v>
      </c>
    </row>
    <row r="4" spans="1:21" x14ac:dyDescent="0.2">
      <c r="A4" s="104" t="s">
        <v>85</v>
      </c>
      <c r="B4" s="93">
        <v>76.599999999999994</v>
      </c>
      <c r="C4" s="84">
        <v>1.9</v>
      </c>
      <c r="D4" s="84">
        <v>0.9</v>
      </c>
      <c r="E4" s="84">
        <v>0.36</v>
      </c>
      <c r="F4" s="84">
        <v>69</v>
      </c>
      <c r="G4" s="84">
        <v>42</v>
      </c>
      <c r="H4" s="84">
        <v>15.4</v>
      </c>
      <c r="I4" s="84">
        <v>19.7</v>
      </c>
      <c r="J4" s="113">
        <v>0.5</v>
      </c>
      <c r="K4" s="114">
        <v>0</v>
      </c>
      <c r="L4" s="98">
        <v>3.3318834275772073</v>
      </c>
      <c r="M4" s="92">
        <v>4.859335038363171E-2</v>
      </c>
      <c r="N4" s="92">
        <v>4.4910179640718563E-2</v>
      </c>
      <c r="O4" s="92">
        <v>2.9617441382147267E-2</v>
      </c>
      <c r="P4" s="92">
        <v>1.1307767944936087</v>
      </c>
      <c r="Q4" s="92">
        <v>1.3997667055490752</v>
      </c>
      <c r="R4" s="92">
        <v>0.43441466854724964</v>
      </c>
      <c r="S4" s="92">
        <v>0.41016031646887358</v>
      </c>
      <c r="T4" s="92">
        <v>8.0645161290322578E-3</v>
      </c>
      <c r="U4" s="99">
        <v>0</v>
      </c>
    </row>
    <row r="5" spans="1:21" x14ac:dyDescent="0.2">
      <c r="A5" s="105" t="s">
        <v>86</v>
      </c>
      <c r="B5" s="93">
        <v>75.099999999999994</v>
      </c>
      <c r="C5" s="84">
        <v>0.7</v>
      </c>
      <c r="D5" s="84">
        <v>14.2</v>
      </c>
      <c r="E5" s="84">
        <v>1.8</v>
      </c>
      <c r="F5" s="84">
        <v>217</v>
      </c>
      <c r="G5" s="113">
        <v>10</v>
      </c>
      <c r="H5" s="84">
        <v>13.8</v>
      </c>
      <c r="I5" s="84">
        <v>6.3</v>
      </c>
      <c r="J5" s="113">
        <v>0.5</v>
      </c>
      <c r="K5" s="114">
        <v>0</v>
      </c>
      <c r="L5" s="98">
        <v>3.2666376685515441</v>
      </c>
      <c r="M5" s="92">
        <v>1.7902813299232736E-2</v>
      </c>
      <c r="N5" s="92">
        <v>0.70858283433133729</v>
      </c>
      <c r="O5" s="92">
        <v>0.14808720691073635</v>
      </c>
      <c r="P5" s="92">
        <v>3.5562110783349721</v>
      </c>
      <c r="Q5" s="92">
        <v>0.3332777870354941</v>
      </c>
      <c r="R5" s="92">
        <v>0.38928067700987307</v>
      </c>
      <c r="S5" s="92">
        <v>0.13116801998750779</v>
      </c>
      <c r="T5" s="92">
        <v>8.0645161290322578E-3</v>
      </c>
      <c r="U5" s="99">
        <v>0</v>
      </c>
    </row>
    <row r="6" spans="1:21" x14ac:dyDescent="0.2">
      <c r="A6" s="104" t="s">
        <v>130</v>
      </c>
      <c r="B6" s="93">
        <v>69.099999999999994</v>
      </c>
      <c r="C6" s="84">
        <v>1.3</v>
      </c>
      <c r="D6" s="84">
        <v>4.8</v>
      </c>
      <c r="E6" s="84">
        <v>39.4</v>
      </c>
      <c r="F6" s="84">
        <v>281</v>
      </c>
      <c r="G6" s="113">
        <v>10</v>
      </c>
      <c r="H6" s="84">
        <v>62.2</v>
      </c>
      <c r="I6" s="84">
        <v>5.7</v>
      </c>
      <c r="J6" s="113">
        <v>0.5</v>
      </c>
      <c r="K6" s="114">
        <v>0</v>
      </c>
      <c r="L6" s="98">
        <v>3.0056546324488909</v>
      </c>
      <c r="M6" s="92">
        <v>3.3248081841432228E-2</v>
      </c>
      <c r="N6" s="92">
        <v>0.23952095808383234</v>
      </c>
      <c r="O6" s="92">
        <v>3.2414644179350063</v>
      </c>
      <c r="P6" s="92">
        <v>4.6050475254015071</v>
      </c>
      <c r="Q6" s="92">
        <v>0.3332777870354941</v>
      </c>
      <c r="R6" s="92">
        <v>1.7545839210155147</v>
      </c>
      <c r="S6" s="92">
        <v>0.11867582760774516</v>
      </c>
      <c r="T6" s="92">
        <v>8.0645161290322578E-3</v>
      </c>
      <c r="U6" s="99">
        <v>0</v>
      </c>
    </row>
    <row r="7" spans="1:21" x14ac:dyDescent="0.2">
      <c r="A7" s="105" t="s">
        <v>88</v>
      </c>
      <c r="B7" s="93">
        <v>56.6</v>
      </c>
      <c r="C7" s="84">
        <v>1.4</v>
      </c>
      <c r="D7" s="84">
        <v>1.5</v>
      </c>
      <c r="E7" s="84">
        <v>0.28000000000000003</v>
      </c>
      <c r="F7" s="84">
        <v>97</v>
      </c>
      <c r="G7" s="84">
        <v>16</v>
      </c>
      <c r="H7" s="84">
        <v>7.5</v>
      </c>
      <c r="I7" s="84">
        <v>6.7</v>
      </c>
      <c r="J7" s="113">
        <v>0.5</v>
      </c>
      <c r="K7" s="114">
        <v>0</v>
      </c>
      <c r="L7" s="98">
        <v>2.4619399739016967</v>
      </c>
      <c r="M7" s="92">
        <v>3.5805626598465472E-2</v>
      </c>
      <c r="N7" s="92">
        <v>7.4850299401197612E-2</v>
      </c>
      <c r="O7" s="92">
        <v>2.3035787741670099E-2</v>
      </c>
      <c r="P7" s="92">
        <v>1.5896427400852178</v>
      </c>
      <c r="Q7" s="92">
        <v>0.53324445925679054</v>
      </c>
      <c r="R7" s="92">
        <v>0.21156558533145273</v>
      </c>
      <c r="S7" s="92">
        <v>0.1394961482406829</v>
      </c>
      <c r="T7" s="92">
        <v>8.0645161290322578E-3</v>
      </c>
      <c r="U7" s="99">
        <v>0</v>
      </c>
    </row>
    <row r="8" spans="1:21" x14ac:dyDescent="0.2">
      <c r="A8" s="104" t="s">
        <v>52</v>
      </c>
      <c r="B8" s="93">
        <v>102.5</v>
      </c>
      <c r="C8" s="84">
        <v>1.2</v>
      </c>
      <c r="D8" s="84">
        <v>2.7</v>
      </c>
      <c r="E8" s="84">
        <v>1.8</v>
      </c>
      <c r="F8" s="84">
        <v>205</v>
      </c>
      <c r="G8" s="84">
        <v>17</v>
      </c>
      <c r="H8" s="84">
        <v>20</v>
      </c>
      <c r="I8" s="84">
        <v>2.5</v>
      </c>
      <c r="J8" s="113">
        <v>0.5</v>
      </c>
      <c r="K8" s="114">
        <v>0</v>
      </c>
      <c r="L8" s="98">
        <v>4.4584602000869946</v>
      </c>
      <c r="M8" s="92">
        <v>3.0690537084398974E-2</v>
      </c>
      <c r="N8" s="92">
        <v>0.1347305389221557</v>
      </c>
      <c r="O8" s="92">
        <v>0.14808720691073635</v>
      </c>
      <c r="P8" s="92">
        <v>3.3595542445099964</v>
      </c>
      <c r="Q8" s="92">
        <v>0.56657223796033995</v>
      </c>
      <c r="R8" s="92">
        <v>0.56417489421720723</v>
      </c>
      <c r="S8" s="92">
        <v>5.2050801582344368E-2</v>
      </c>
      <c r="T8" s="92">
        <v>8.0645161290322578E-3</v>
      </c>
      <c r="U8" s="99">
        <v>0</v>
      </c>
    </row>
    <row r="9" spans="1:21" x14ac:dyDescent="0.2">
      <c r="A9" s="104" t="s">
        <v>89</v>
      </c>
      <c r="B9" s="93">
        <v>29.5</v>
      </c>
      <c r="C9" s="84">
        <v>3.2</v>
      </c>
      <c r="D9" s="84">
        <v>28.2</v>
      </c>
      <c r="E9" s="84">
        <v>0.2</v>
      </c>
      <c r="F9" s="113">
        <v>10</v>
      </c>
      <c r="G9" s="84">
        <v>11</v>
      </c>
      <c r="H9" s="84">
        <v>11.4</v>
      </c>
      <c r="I9" s="113">
        <v>0.5</v>
      </c>
      <c r="J9" s="113">
        <v>0.5</v>
      </c>
      <c r="K9" s="94">
        <v>35</v>
      </c>
      <c r="L9" s="98">
        <v>1.283166594171379</v>
      </c>
      <c r="M9" s="92">
        <v>8.1841432225063945E-2</v>
      </c>
      <c r="N9" s="92">
        <v>1.4071856287425151</v>
      </c>
      <c r="O9" s="92">
        <v>1.6454134101192928E-2</v>
      </c>
      <c r="P9" s="92">
        <v>0.16388069485414616</v>
      </c>
      <c r="Q9" s="92">
        <v>0.36660556573904352</v>
      </c>
      <c r="R9" s="92">
        <v>0.32157968970380818</v>
      </c>
      <c r="S9" s="92">
        <v>1.0410160316468874E-2</v>
      </c>
      <c r="T9" s="92">
        <v>8.0645161290322578E-3</v>
      </c>
      <c r="U9" s="99">
        <v>2.0576131687242798</v>
      </c>
    </row>
    <row r="10" spans="1:21" x14ac:dyDescent="0.2">
      <c r="A10" s="104" t="s">
        <v>90</v>
      </c>
      <c r="B10" s="93">
        <v>15.8</v>
      </c>
      <c r="C10" s="84">
        <v>0.7</v>
      </c>
      <c r="D10" s="84">
        <v>26.8</v>
      </c>
      <c r="E10" s="84">
        <v>0.19</v>
      </c>
      <c r="F10" s="113">
        <v>10</v>
      </c>
      <c r="G10" s="84">
        <v>12</v>
      </c>
      <c r="H10" s="84">
        <v>10.5</v>
      </c>
      <c r="I10" s="84">
        <v>0.7</v>
      </c>
      <c r="J10" s="113">
        <v>0.5</v>
      </c>
      <c r="K10" s="94">
        <v>22</v>
      </c>
      <c r="L10" s="98">
        <v>0.68725532840365389</v>
      </c>
      <c r="M10" s="92">
        <v>1.7902813299232736E-2</v>
      </c>
      <c r="N10" s="92">
        <v>1.3373253493013972</v>
      </c>
      <c r="O10" s="92">
        <v>1.5631427396133279E-2</v>
      </c>
      <c r="P10" s="92">
        <v>0.16388069485414616</v>
      </c>
      <c r="Q10" s="92">
        <v>0.39993334444259293</v>
      </c>
      <c r="R10" s="92">
        <v>0.29619181946403383</v>
      </c>
      <c r="S10" s="92">
        <v>1.4574224443056422E-2</v>
      </c>
      <c r="T10" s="92">
        <v>8.0645161290322578E-3</v>
      </c>
      <c r="U10" s="99">
        <v>1.2933568489124043</v>
      </c>
    </row>
    <row r="11" spans="1:21" x14ac:dyDescent="0.2">
      <c r="A11" s="105" t="s">
        <v>91</v>
      </c>
      <c r="B11" s="93">
        <v>96.7</v>
      </c>
      <c r="C11" s="84">
        <v>3.6</v>
      </c>
      <c r="D11" s="84">
        <v>45.3</v>
      </c>
      <c r="E11" s="84">
        <v>0.18</v>
      </c>
      <c r="F11" s="113">
        <v>10</v>
      </c>
      <c r="G11" s="84">
        <v>17</v>
      </c>
      <c r="H11" s="84">
        <v>34.5</v>
      </c>
      <c r="I11" s="113">
        <v>0.5</v>
      </c>
      <c r="J11" s="113">
        <v>0.5</v>
      </c>
      <c r="K11" s="94">
        <v>81.8</v>
      </c>
      <c r="L11" s="98">
        <v>4.2061765985210968</v>
      </c>
      <c r="M11" s="92">
        <v>9.2071611253196933E-2</v>
      </c>
      <c r="N11" s="92">
        <v>2.2604790419161676</v>
      </c>
      <c r="O11" s="92">
        <v>1.4808720691073633E-2</v>
      </c>
      <c r="P11" s="92">
        <v>0.16388069485414616</v>
      </c>
      <c r="Q11" s="92">
        <v>0.56657223796033995</v>
      </c>
      <c r="R11" s="92">
        <v>0.97320169252468258</v>
      </c>
      <c r="S11" s="92">
        <v>1.0410160316468874E-2</v>
      </c>
      <c r="T11" s="92">
        <v>8.0645161290322578E-3</v>
      </c>
      <c r="U11" s="99">
        <v>4.8089359200470305</v>
      </c>
    </row>
    <row r="12" spans="1:21" x14ac:dyDescent="0.2">
      <c r="A12" s="104" t="s">
        <v>93</v>
      </c>
      <c r="B12" s="93">
        <v>27.8</v>
      </c>
      <c r="C12" s="84">
        <v>3.2</v>
      </c>
      <c r="D12" s="84">
        <v>19.2</v>
      </c>
      <c r="E12" s="84">
        <v>0.24</v>
      </c>
      <c r="F12" s="113">
        <v>10</v>
      </c>
      <c r="G12" s="113">
        <v>10</v>
      </c>
      <c r="H12" s="84">
        <v>23.2</v>
      </c>
      <c r="I12" s="113">
        <v>0.5</v>
      </c>
      <c r="J12" s="113">
        <v>0.5</v>
      </c>
      <c r="K12" s="94">
        <v>26</v>
      </c>
      <c r="L12" s="98">
        <v>1.2092214006089606</v>
      </c>
      <c r="M12" s="92">
        <v>8.1841432225063945E-2</v>
      </c>
      <c r="N12" s="92">
        <v>0.95808383233532934</v>
      </c>
      <c r="O12" s="92">
        <v>1.974496092143151E-2</v>
      </c>
      <c r="P12" s="92">
        <v>0.16388069485414616</v>
      </c>
      <c r="Q12" s="92">
        <v>0.3332777870354941</v>
      </c>
      <c r="R12" s="92">
        <v>0.65444287729196049</v>
      </c>
      <c r="S12" s="92">
        <v>1.0410160316468874E-2</v>
      </c>
      <c r="T12" s="92">
        <v>8.0645161290322578E-3</v>
      </c>
      <c r="U12" s="99">
        <v>1.5285126396237505</v>
      </c>
    </row>
    <row r="13" spans="1:21" x14ac:dyDescent="0.2">
      <c r="A13" s="104" t="s">
        <v>92</v>
      </c>
      <c r="B13" s="93">
        <v>13.4</v>
      </c>
      <c r="C13" s="84">
        <v>1.5</v>
      </c>
      <c r="D13" s="84">
        <v>22.5</v>
      </c>
      <c r="E13" s="84">
        <v>0.22</v>
      </c>
      <c r="F13" s="113">
        <v>10</v>
      </c>
      <c r="G13" s="84">
        <v>13</v>
      </c>
      <c r="H13" s="84">
        <v>10.9</v>
      </c>
      <c r="I13" s="113">
        <v>0.5</v>
      </c>
      <c r="J13" s="113">
        <v>0.5</v>
      </c>
      <c r="K13" s="94">
        <v>17</v>
      </c>
      <c r="L13" s="98">
        <v>0.58286211396259247</v>
      </c>
      <c r="M13" s="92">
        <v>3.8363171355498722E-2</v>
      </c>
      <c r="N13" s="92">
        <v>1.1227544910179641</v>
      </c>
      <c r="O13" s="92">
        <v>1.8099547511312219E-2</v>
      </c>
      <c r="P13" s="92">
        <v>0.16388069485414616</v>
      </c>
      <c r="Q13" s="92">
        <v>0.43326112314614235</v>
      </c>
      <c r="R13" s="92">
        <v>0.30747531734837796</v>
      </c>
      <c r="S13" s="92">
        <v>1.0410160316468874E-2</v>
      </c>
      <c r="T13" s="92">
        <v>8.0645161290322578E-3</v>
      </c>
      <c r="U13" s="99">
        <v>0.99941211052322154</v>
      </c>
    </row>
    <row r="14" spans="1:21" x14ac:dyDescent="0.2">
      <c r="A14" s="91" t="s">
        <v>94</v>
      </c>
      <c r="B14" s="95">
        <v>22.7</v>
      </c>
      <c r="C14" s="96">
        <v>3.8</v>
      </c>
      <c r="D14" s="96">
        <v>13.4</v>
      </c>
      <c r="E14" s="96">
        <v>0.3</v>
      </c>
      <c r="F14" s="115">
        <v>10</v>
      </c>
      <c r="G14" s="96">
        <v>20</v>
      </c>
      <c r="H14" s="96">
        <v>9.6999999999999993</v>
      </c>
      <c r="I14" s="115">
        <v>0.5</v>
      </c>
      <c r="J14" s="115">
        <v>0.5</v>
      </c>
      <c r="K14" s="97">
        <v>15</v>
      </c>
      <c r="L14" s="100">
        <v>0.98738581992170515</v>
      </c>
      <c r="M14" s="101">
        <v>9.718670076726342E-2</v>
      </c>
      <c r="N14" s="101">
        <v>0.66866267465069862</v>
      </c>
      <c r="O14" s="101">
        <v>2.4681201151789386E-2</v>
      </c>
      <c r="P14" s="101">
        <v>0.16388069485414616</v>
      </c>
      <c r="Q14" s="101">
        <v>0.6665555740709882</v>
      </c>
      <c r="R14" s="101">
        <v>0.27362482369534552</v>
      </c>
      <c r="S14" s="101">
        <v>1.0410160316468874E-2</v>
      </c>
      <c r="T14" s="101">
        <v>8.0645161290322578E-3</v>
      </c>
      <c r="U14" s="102">
        <v>0.88183421516754845</v>
      </c>
    </row>
    <row r="15" spans="1:21" x14ac:dyDescent="0.2">
      <c r="A15" s="83"/>
      <c r="B15" s="84"/>
      <c r="C15" s="84"/>
      <c r="D15" s="84"/>
      <c r="E15" s="85"/>
      <c r="F15" s="86"/>
      <c r="G15" s="87"/>
      <c r="H15" s="84"/>
      <c r="I15" s="86"/>
      <c r="J15" s="86"/>
      <c r="K15" s="84"/>
      <c r="L15" s="89"/>
      <c r="M15" s="89"/>
      <c r="N15" s="89"/>
      <c r="O15" s="89"/>
      <c r="P15" s="89"/>
      <c r="Q15" s="89"/>
      <c r="R15" s="89"/>
      <c r="S15" s="89"/>
      <c r="T15" s="89"/>
      <c r="U15" s="89"/>
    </row>
    <row r="16" spans="1:21" s="88" customFormat="1" x14ac:dyDescent="0.2">
      <c r="A16" s="88" t="s">
        <v>132</v>
      </c>
      <c r="B16" s="88">
        <v>35</v>
      </c>
      <c r="C16" s="88">
        <v>4.7</v>
      </c>
      <c r="D16" s="88">
        <v>23</v>
      </c>
      <c r="E16" s="88">
        <v>4.7</v>
      </c>
      <c r="F16" s="88">
        <v>171</v>
      </c>
      <c r="G16" s="88">
        <v>0</v>
      </c>
      <c r="H16" s="88">
        <v>9.5</v>
      </c>
      <c r="I16" s="88">
        <v>1</v>
      </c>
      <c r="L16" s="89">
        <v>1.5224010439321445</v>
      </c>
      <c r="M16" s="89">
        <v>0.12020460358056266</v>
      </c>
      <c r="N16" s="89">
        <v>1.1477045908183634</v>
      </c>
      <c r="O16" s="89">
        <v>0.38667215137803379</v>
      </c>
      <c r="P16" s="89">
        <v>2.8023598820058995</v>
      </c>
      <c r="Q16" s="89">
        <v>0</v>
      </c>
      <c r="R16" s="89">
        <v>0.26798307475317346</v>
      </c>
      <c r="S16" s="89">
        <v>2.0820320632937747E-2</v>
      </c>
      <c r="T16" s="89">
        <v>0</v>
      </c>
      <c r="U16" s="89">
        <v>0</v>
      </c>
    </row>
  </sheetData>
  <mergeCells count="2">
    <mergeCell ref="B1:K1"/>
    <mergeCell ref="L1:U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data_og</vt:lpstr>
      <vt:lpstr>data_plots</vt:lpstr>
      <vt:lpstr>Units_ogdt</vt:lpstr>
      <vt:lpstr>Sheet3</vt:lpstr>
      <vt:lpstr>Conversion to mEqL-1</vt:lpstr>
      <vt:lpstr>normalisation to 100</vt:lpstr>
      <vt:lpstr>Data_plot_piper</vt:lpstr>
      <vt:lpstr>Table S2</vt:lpstr>
    </vt:vector>
  </TitlesOfParts>
  <Company>UPPA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 La Paix Izerumugaba</dc:creator>
  <cp:lastModifiedBy>Jean De La Paix Izerumugaba</cp:lastModifiedBy>
  <dcterms:created xsi:type="dcterms:W3CDTF">2025-02-14T14:43:37Z</dcterms:created>
  <dcterms:modified xsi:type="dcterms:W3CDTF">2026-02-03T17:27:33Z</dcterms:modified>
</cp:coreProperties>
</file>