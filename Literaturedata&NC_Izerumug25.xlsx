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lpizerumug\Documents\DOCS_msi\PhD@UniPau\ACADEMICS\Phillipines article\"/>
    </mc:Choice>
  </mc:AlternateContent>
  <xr:revisionPtr revIDLastSave="0" documentId="13_ncr:1_{64A1754A-F364-4140-807D-A637201A0FF0}" xr6:coauthVersionLast="36" xr6:coauthVersionMax="36" xr10:uidLastSave="{00000000-0000-0000-0000-000000000000}"/>
  <bookViews>
    <workbookView xWindow="0" yWindow="0" windowWidth="23040" windowHeight="9444" activeTab="2" xr2:uid="{E1F43064-CCCA-4806-847B-77A30495005A}"/>
  </bookViews>
  <sheets>
    <sheet name="Serpent.Contexts_plot" sheetId="4" r:id="rId1"/>
    <sheet name="Serpent.Contexts" sheetId="1" r:id="rId2"/>
    <sheet name="VolcanicContexts" sheetId="2" r:id="rId3"/>
    <sheet name="Deville and Prinzhofer., 2016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6" i="4" l="1"/>
  <c r="AF37" i="4"/>
  <c r="AK39" i="4" l="1"/>
  <c r="AJ39" i="4"/>
  <c r="AI39" i="4"/>
  <c r="AF39" i="4"/>
  <c r="AG39" i="4" s="1"/>
  <c r="AD39" i="4"/>
  <c r="AK38" i="4"/>
  <c r="AJ38" i="4"/>
  <c r="AI38" i="4"/>
  <c r="AF38" i="4"/>
  <c r="AG38" i="4" s="1"/>
  <c r="AD38" i="4"/>
  <c r="AK35" i="4"/>
  <c r="AJ35" i="4"/>
  <c r="AI35" i="4"/>
  <c r="AF35" i="4"/>
  <c r="AG35" i="4" s="1"/>
  <c r="AD35" i="4"/>
  <c r="AK34" i="4"/>
  <c r="AJ34" i="4"/>
  <c r="AI34" i="4"/>
  <c r="AF34" i="4"/>
  <c r="AG34" i="4" s="1"/>
  <c r="AD34" i="4"/>
  <c r="AK33" i="4"/>
  <c r="AJ33" i="4"/>
  <c r="AI33" i="4"/>
  <c r="AF33" i="4"/>
  <c r="AG33" i="4" s="1"/>
  <c r="AD33" i="4"/>
  <c r="AK32" i="4"/>
  <c r="AJ32" i="4"/>
  <c r="AI32" i="4"/>
  <c r="AF32" i="4"/>
  <c r="AG32" i="4" s="1"/>
  <c r="AH32" i="4" s="1"/>
  <c r="AD32" i="4"/>
  <c r="AK31" i="4"/>
  <c r="AJ31" i="4"/>
  <c r="AI31" i="4"/>
  <c r="AF31" i="4"/>
  <c r="AG31" i="4" s="1"/>
  <c r="AH31" i="4" s="1"/>
  <c r="AD31" i="4"/>
  <c r="AK30" i="4"/>
  <c r="AJ30" i="4"/>
  <c r="AI30" i="4"/>
  <c r="AF30" i="4"/>
  <c r="AG30" i="4" s="1"/>
  <c r="AH30" i="4" s="1"/>
  <c r="AD30" i="4"/>
  <c r="AK29" i="4"/>
  <c r="AJ29" i="4"/>
  <c r="AI29" i="4"/>
  <c r="AF29" i="4"/>
  <c r="AG29" i="4" s="1"/>
  <c r="AD29" i="4"/>
  <c r="AK28" i="4"/>
  <c r="AJ28" i="4"/>
  <c r="AI28" i="4"/>
  <c r="AF28" i="4"/>
  <c r="AG28" i="4" s="1"/>
  <c r="AD28" i="4"/>
  <c r="AK27" i="4"/>
  <c r="AJ27" i="4"/>
  <c r="AI27" i="4"/>
  <c r="AG27" i="4"/>
  <c r="AF27" i="4"/>
  <c r="AD27" i="4"/>
  <c r="AK26" i="4"/>
  <c r="AJ26" i="4"/>
  <c r="AI26" i="4"/>
  <c r="AF26" i="4"/>
  <c r="AG26" i="4" s="1"/>
  <c r="AD26" i="4"/>
  <c r="AK25" i="4"/>
  <c r="AJ25" i="4"/>
  <c r="AI25" i="4"/>
  <c r="AF25" i="4"/>
  <c r="AG25" i="4" s="1"/>
  <c r="AD25" i="4"/>
  <c r="AK24" i="4"/>
  <c r="AJ24" i="4"/>
  <c r="AI24" i="4"/>
  <c r="AF24" i="4"/>
  <c r="AG24" i="4" s="1"/>
  <c r="AD24" i="4"/>
  <c r="AK23" i="4"/>
  <c r="AJ23" i="4"/>
  <c r="AI23" i="4"/>
  <c r="AF23" i="4"/>
  <c r="AG23" i="4" s="1"/>
  <c r="AD23" i="4"/>
  <c r="AK22" i="4"/>
  <c r="AJ22" i="4"/>
  <c r="AI22" i="4"/>
  <c r="AF22" i="4"/>
  <c r="AG22" i="4" s="1"/>
  <c r="AD22" i="4"/>
  <c r="AK21" i="4"/>
  <c r="AJ21" i="4"/>
  <c r="AI21" i="4"/>
  <c r="AF21" i="4"/>
  <c r="AG21" i="4" s="1"/>
  <c r="AD21" i="4"/>
  <c r="AK20" i="4"/>
  <c r="AJ20" i="4"/>
  <c r="AI20" i="4"/>
  <c r="AF20" i="4"/>
  <c r="AG20" i="4" s="1"/>
  <c r="AH20" i="4" s="1"/>
  <c r="AD20" i="4"/>
  <c r="AK19" i="4"/>
  <c r="AJ19" i="4"/>
  <c r="AI19" i="4"/>
  <c r="AF19" i="4"/>
  <c r="AG19" i="4" s="1"/>
  <c r="AD19" i="4"/>
  <c r="AK18" i="4"/>
  <c r="AJ18" i="4"/>
  <c r="AI18" i="4"/>
  <c r="AF18" i="4"/>
  <c r="AG18" i="4" s="1"/>
  <c r="AD18" i="4"/>
  <c r="AK17" i="4"/>
  <c r="AJ17" i="4"/>
  <c r="AI17" i="4"/>
  <c r="AF17" i="4"/>
  <c r="AG17" i="4" s="1"/>
  <c r="AD17" i="4"/>
  <c r="AK16" i="4"/>
  <c r="AJ16" i="4"/>
  <c r="AI16" i="4"/>
  <c r="AF16" i="4"/>
  <c r="AG16" i="4" s="1"/>
  <c r="AD16" i="4"/>
  <c r="AK15" i="4"/>
  <c r="AJ15" i="4"/>
  <c r="AI15" i="4"/>
  <c r="AF15" i="4"/>
  <c r="AG15" i="4" s="1"/>
  <c r="AD15" i="4"/>
  <c r="AK14" i="4"/>
  <c r="AJ14" i="4"/>
  <c r="AI14" i="4"/>
  <c r="AF14" i="4"/>
  <c r="AG14" i="4" s="1"/>
  <c r="AD14" i="4"/>
  <c r="AK13" i="4"/>
  <c r="AJ13" i="4"/>
  <c r="AI13" i="4"/>
  <c r="AG13" i="4"/>
  <c r="AF13" i="4"/>
  <c r="AD13" i="4"/>
  <c r="AK12" i="4"/>
  <c r="AJ12" i="4"/>
  <c r="AF12" i="4"/>
  <c r="AG12" i="4" s="1"/>
  <c r="AK8" i="4"/>
  <c r="AJ8" i="4"/>
  <c r="AI8" i="4"/>
  <c r="AF8" i="4"/>
  <c r="AG8" i="4" s="1"/>
  <c r="AD8" i="4"/>
  <c r="AK7" i="4"/>
  <c r="AJ7" i="4"/>
  <c r="AI7" i="4"/>
  <c r="AG7" i="4"/>
  <c r="AF7" i="4"/>
  <c r="AD7" i="4"/>
  <c r="AK6" i="4"/>
  <c r="AJ6" i="4"/>
  <c r="AI6" i="4"/>
  <c r="AF6" i="4"/>
  <c r="AG6" i="4" s="1"/>
  <c r="AD6" i="4"/>
  <c r="AK5" i="4"/>
  <c r="AJ5" i="4"/>
  <c r="AI5" i="4"/>
  <c r="AF5" i="4"/>
  <c r="AG5" i="4" s="1"/>
  <c r="AD5" i="4"/>
  <c r="AK4" i="4"/>
  <c r="AJ4" i="4"/>
  <c r="AI4" i="4"/>
  <c r="AF4" i="4"/>
  <c r="AG4" i="4" s="1"/>
  <c r="AD4" i="4"/>
  <c r="AK3" i="4"/>
  <c r="AJ3" i="4"/>
  <c r="AI3" i="4"/>
  <c r="AF3" i="4"/>
  <c r="AG3" i="4" s="1"/>
  <c r="AD3" i="4"/>
  <c r="AK2" i="4"/>
  <c r="AJ2" i="4"/>
  <c r="AI2" i="4"/>
  <c r="AF2" i="4"/>
  <c r="AG2" i="4" s="1"/>
  <c r="AD2" i="4"/>
  <c r="AJ3" i="1" l="1"/>
  <c r="AJ4" i="1"/>
  <c r="AJ5" i="1"/>
  <c r="AJ6" i="1"/>
  <c r="AJ7" i="1"/>
  <c r="AJ8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2" i="1"/>
  <c r="AK3" i="1" l="1"/>
  <c r="AK4" i="1"/>
  <c r="AK5" i="1"/>
  <c r="AK6" i="1"/>
  <c r="AK7" i="1"/>
  <c r="AK8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2" i="1"/>
  <c r="AI3" i="1"/>
  <c r="AI4" i="1"/>
  <c r="AI5" i="1"/>
  <c r="AI6" i="1"/>
  <c r="AI7" i="1"/>
  <c r="AI8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2" i="1"/>
  <c r="AH30" i="1" l="1"/>
  <c r="AH20" i="1" l="1"/>
  <c r="AH31" i="1"/>
  <c r="AH32" i="1"/>
  <c r="AG2" i="1" l="1"/>
  <c r="AD18" i="1"/>
  <c r="AD3" i="1"/>
  <c r="AD4" i="1"/>
  <c r="AD5" i="1"/>
  <c r="AD6" i="1"/>
  <c r="AD7" i="1"/>
  <c r="AD8" i="1"/>
  <c r="AD13" i="1"/>
  <c r="AD14" i="1"/>
  <c r="AD15" i="1"/>
  <c r="AD16" i="1"/>
  <c r="AD17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F3" i="1"/>
  <c r="AG3" i="1" s="1"/>
  <c r="AF4" i="1"/>
  <c r="AG4" i="1" s="1"/>
  <c r="AF5" i="1"/>
  <c r="AG5" i="1" s="1"/>
  <c r="AF6" i="1"/>
  <c r="AG6" i="1" s="1"/>
  <c r="AF7" i="1"/>
  <c r="AG7" i="1" s="1"/>
  <c r="AF8" i="1"/>
  <c r="AG8" i="1" s="1"/>
  <c r="AF12" i="1"/>
  <c r="AG12" i="1" s="1"/>
  <c r="AF13" i="1"/>
  <c r="AG13" i="1" s="1"/>
  <c r="AF14" i="1"/>
  <c r="AG14" i="1" s="1"/>
  <c r="AF15" i="1"/>
  <c r="AG15" i="1" s="1"/>
  <c r="AF16" i="1"/>
  <c r="AG16" i="1" s="1"/>
  <c r="AF17" i="1"/>
  <c r="AG17" i="1" s="1"/>
  <c r="AF18" i="1"/>
  <c r="AG18" i="1" s="1"/>
  <c r="AF19" i="1"/>
  <c r="AG19" i="1" s="1"/>
  <c r="AF20" i="1"/>
  <c r="AG20" i="1" s="1"/>
  <c r="AF21" i="1"/>
  <c r="AG21" i="1" s="1"/>
  <c r="AF22" i="1"/>
  <c r="AG22" i="1" s="1"/>
  <c r="AF23" i="1"/>
  <c r="AG23" i="1" s="1"/>
  <c r="AF24" i="1"/>
  <c r="AG24" i="1" s="1"/>
  <c r="AF25" i="1"/>
  <c r="AG25" i="1" s="1"/>
  <c r="AF26" i="1"/>
  <c r="AG26" i="1" s="1"/>
  <c r="AF27" i="1"/>
  <c r="AG27" i="1" s="1"/>
  <c r="AF28" i="1"/>
  <c r="AG28" i="1" s="1"/>
  <c r="AF29" i="1"/>
  <c r="AG29" i="1" s="1"/>
  <c r="AF30" i="1"/>
  <c r="AG30" i="1" s="1"/>
  <c r="AF31" i="1"/>
  <c r="AG31" i="1" s="1"/>
  <c r="AF32" i="1"/>
  <c r="AG32" i="1" s="1"/>
  <c r="AF33" i="1"/>
  <c r="AG33" i="1" s="1"/>
  <c r="AF34" i="1"/>
  <c r="AG34" i="1" s="1"/>
  <c r="AF35" i="1"/>
  <c r="AG35" i="1" s="1"/>
  <c r="AF36" i="1"/>
  <c r="AG36" i="1" s="1"/>
  <c r="AF37" i="1"/>
  <c r="AG37" i="1" s="1"/>
  <c r="AF2" i="1"/>
  <c r="T8" i="3"/>
  <c r="T7" i="3"/>
  <c r="T6" i="3"/>
  <c r="T5" i="3"/>
  <c r="T4" i="3"/>
  <c r="T3" i="3"/>
  <c r="T2" i="3"/>
  <c r="AD2" i="1" l="1"/>
</calcChain>
</file>

<file path=xl/sharedStrings.xml><?xml version="1.0" encoding="utf-8"?>
<sst xmlns="http://schemas.openxmlformats.org/spreadsheetml/2006/main" count="1663" uniqueCount="284">
  <si>
    <t>H2</t>
  </si>
  <si>
    <t>CH4</t>
  </si>
  <si>
    <t>CO2</t>
  </si>
  <si>
    <t>N2</t>
  </si>
  <si>
    <t>d13C_CH4</t>
  </si>
  <si>
    <t>4He</t>
  </si>
  <si>
    <t>20Ne</t>
  </si>
  <si>
    <t>4He/20Ne</t>
  </si>
  <si>
    <t>36Ar</t>
  </si>
  <si>
    <t>40Ar/36Ar</t>
  </si>
  <si>
    <t>R/Ra</t>
  </si>
  <si>
    <t xml:space="preserve">Site </t>
  </si>
  <si>
    <t>84Kr</t>
  </si>
  <si>
    <t xml:space="preserve">Carénage 1 </t>
  </si>
  <si>
    <t xml:space="preserve">Carénage 2 </t>
  </si>
  <si>
    <t xml:space="preserve">Kaoris 1 </t>
  </si>
  <si>
    <t xml:space="preserve">Kaoris 2 </t>
  </si>
  <si>
    <t xml:space="preserve">Kaoris 3 </t>
  </si>
  <si>
    <t xml:space="preserve">La Crouen 1 </t>
  </si>
  <si>
    <t xml:space="preserve">La Crouen 2 </t>
  </si>
  <si>
    <t xml:space="preserve">Roc Aiguille 1 </t>
  </si>
  <si>
    <t xml:space="preserve">Roc Aiguille 2 </t>
  </si>
  <si>
    <t>Country</t>
  </si>
  <si>
    <t>NewCal</t>
  </si>
  <si>
    <t>Ref</t>
  </si>
  <si>
    <t>Deville and Prinzhofer, 2016</t>
  </si>
  <si>
    <t>Ca</t>
  </si>
  <si>
    <t>BK</t>
  </si>
  <si>
    <t>Cr</t>
  </si>
  <si>
    <t>RA</t>
  </si>
  <si>
    <t>IDCs</t>
  </si>
  <si>
    <t>IDss</t>
  </si>
  <si>
    <t>Ca1</t>
  </si>
  <si>
    <t>Ca2</t>
  </si>
  <si>
    <t>BK1</t>
  </si>
  <si>
    <t>BK2</t>
  </si>
  <si>
    <t>BK3</t>
  </si>
  <si>
    <t>Cr1</t>
  </si>
  <si>
    <t>Cr2</t>
  </si>
  <si>
    <t>RA1</t>
  </si>
  <si>
    <t>RA2</t>
  </si>
  <si>
    <t>Type</t>
  </si>
  <si>
    <t>N2-H2-CH4 type</t>
  </si>
  <si>
    <t>N2-rich type</t>
  </si>
  <si>
    <t>Oman</t>
  </si>
  <si>
    <t>Magniyat</t>
  </si>
  <si>
    <t>Hawasina</t>
  </si>
  <si>
    <t>Bahla 12/2008</t>
  </si>
  <si>
    <t>Bahla 01/2010</t>
  </si>
  <si>
    <t>Bahla 2012</t>
  </si>
  <si>
    <t>Kufeis</t>
  </si>
  <si>
    <t>Haylayn</t>
  </si>
  <si>
    <t>Haylayn 2a</t>
  </si>
  <si>
    <t>Haylayn 2b</t>
  </si>
  <si>
    <t>Haylayn 6</t>
  </si>
  <si>
    <t>Haylayn 8</t>
  </si>
  <si>
    <t>Barrage (Jizzi)</t>
  </si>
  <si>
    <t>Halhal</t>
  </si>
  <si>
    <t>Alkar</t>
  </si>
  <si>
    <t>Huqain</t>
  </si>
  <si>
    <t>Lauriers Roses</t>
  </si>
  <si>
    <t>H2-rich type</t>
  </si>
  <si>
    <t>d13C_CO2</t>
  </si>
  <si>
    <r>
      <rPr>
        <sz val="11"/>
        <rFont val="Calibri"/>
        <family val="2"/>
        <scheme val="minor"/>
      </rPr>
      <t>-12.8</t>
    </r>
  </si>
  <si>
    <r>
      <rPr>
        <sz val="11"/>
        <rFont val="Calibri"/>
        <family val="2"/>
        <scheme val="minor"/>
      </rPr>
      <t>-6.2</t>
    </r>
  </si>
  <si>
    <r>
      <rPr>
        <sz val="11"/>
        <rFont val="Calibri"/>
        <family val="2"/>
        <scheme val="minor"/>
      </rPr>
      <t>-10.1</t>
    </r>
  </si>
  <si>
    <r>
      <rPr>
        <sz val="11"/>
        <rFont val="Calibri"/>
        <family val="2"/>
        <scheme val="minor"/>
      </rPr>
      <t>-7.3</t>
    </r>
  </si>
  <si>
    <r>
      <rPr>
        <sz val="11"/>
        <rFont val="Calibri"/>
        <family val="2"/>
        <scheme val="minor"/>
      </rPr>
      <t>-9.9</t>
    </r>
  </si>
  <si>
    <r>
      <rPr>
        <sz val="11"/>
        <rFont val="Calibri"/>
        <family val="2"/>
        <scheme val="minor"/>
      </rPr>
      <t>-4.3</t>
    </r>
  </si>
  <si>
    <r>
      <rPr>
        <sz val="11"/>
        <rFont val="Calibri"/>
        <family val="2"/>
        <scheme val="minor"/>
      </rPr>
      <t>-5.8</t>
    </r>
  </si>
  <si>
    <r>
      <rPr>
        <sz val="11"/>
        <rFont val="Calibri"/>
        <family val="2"/>
        <scheme val="minor"/>
      </rPr>
      <t>-5.6</t>
    </r>
  </si>
  <si>
    <r>
      <rPr>
        <sz val="11"/>
        <rFont val="Calibri"/>
        <family val="2"/>
        <scheme val="minor"/>
      </rPr>
      <t>-0.3</t>
    </r>
  </si>
  <si>
    <t>dD_H2</t>
  </si>
  <si>
    <r>
      <rPr>
        <sz val="11"/>
        <rFont val="Calibri"/>
        <family val="2"/>
        <scheme val="minor"/>
      </rPr>
      <t>-724</t>
    </r>
  </si>
  <si>
    <r>
      <rPr>
        <sz val="11"/>
        <rFont val="Calibri"/>
        <family val="2"/>
        <scheme val="minor"/>
      </rPr>
      <t>-722</t>
    </r>
  </si>
  <si>
    <r>
      <rPr>
        <sz val="11"/>
        <rFont val="Calibri"/>
        <family val="2"/>
        <scheme val="minor"/>
      </rPr>
      <t>-734</t>
    </r>
  </si>
  <si>
    <r>
      <rPr>
        <sz val="11"/>
        <rFont val="Calibri"/>
        <family val="2"/>
        <scheme val="minor"/>
      </rPr>
      <t>-725</t>
    </r>
  </si>
  <si>
    <r>
      <rPr>
        <sz val="11"/>
        <rFont val="Calibri"/>
        <family val="2"/>
        <scheme val="minor"/>
      </rPr>
      <t>-718</t>
    </r>
  </si>
  <si>
    <r>
      <rPr>
        <sz val="11"/>
        <rFont val="Calibri"/>
        <family val="2"/>
        <scheme val="minor"/>
      </rPr>
      <t>-714</t>
    </r>
  </si>
  <si>
    <r>
      <rPr>
        <sz val="11"/>
        <rFont val="Calibri"/>
        <family val="2"/>
        <scheme val="minor"/>
      </rPr>
      <t>-712</t>
    </r>
  </si>
  <si>
    <r>
      <rPr>
        <sz val="11"/>
        <rFont val="Calibri"/>
        <family val="2"/>
        <scheme val="minor"/>
      </rPr>
      <t>-732</t>
    </r>
  </si>
  <si>
    <r>
      <rPr>
        <sz val="11"/>
        <rFont val="Calibri"/>
        <family val="2"/>
        <scheme val="minor"/>
      </rPr>
      <t>-744</t>
    </r>
  </si>
  <si>
    <r>
      <rPr>
        <sz val="11"/>
        <rFont val="Calibri"/>
        <family val="2"/>
        <scheme val="minor"/>
      </rPr>
      <t>-710</t>
    </r>
  </si>
  <si>
    <r>
      <rPr>
        <sz val="11"/>
        <rFont val="Calibri"/>
        <family val="2"/>
        <scheme val="minor"/>
      </rPr>
      <t>-745</t>
    </r>
  </si>
  <si>
    <r>
      <rPr>
        <sz val="11"/>
        <rFont val="Calibri"/>
        <family val="2"/>
        <scheme val="minor"/>
      </rPr>
      <t>-717</t>
    </r>
  </si>
  <si>
    <r>
      <rPr>
        <sz val="11"/>
        <rFont val="Calibri"/>
        <family val="2"/>
        <scheme val="minor"/>
      </rPr>
      <t>-711</t>
    </r>
  </si>
  <si>
    <r>
      <rPr>
        <sz val="11"/>
        <rFont val="Calibri"/>
        <family val="2"/>
        <scheme val="minor"/>
      </rPr>
      <t>-699</t>
    </r>
  </si>
  <si>
    <t>d_15N</t>
  </si>
  <si>
    <t>Al Ali</t>
  </si>
  <si>
    <t>Rustaq</t>
  </si>
  <si>
    <t>Nakhal</t>
  </si>
  <si>
    <r>
      <rPr>
        <sz val="11"/>
        <rFont val="Calibri"/>
        <family val="2"/>
        <scheme val="minor"/>
      </rPr>
      <t>-16.5</t>
    </r>
  </si>
  <si>
    <r>
      <rPr>
        <sz val="11"/>
        <rFont val="Calibri"/>
        <family val="2"/>
        <scheme val="minor"/>
      </rPr>
      <t>-19.4</t>
    </r>
  </si>
  <si>
    <t>dD_CH4</t>
  </si>
  <si>
    <r>
      <rPr>
        <sz val="11"/>
        <rFont val="Calibri"/>
        <family val="2"/>
        <scheme val="minor"/>
      </rPr>
      <t>-242</t>
    </r>
  </si>
  <si>
    <r>
      <rPr>
        <sz val="11"/>
        <rFont val="Calibri"/>
        <family val="2"/>
        <scheme val="minor"/>
      </rPr>
      <t>-235</t>
    </r>
  </si>
  <si>
    <r>
      <rPr>
        <sz val="11"/>
        <rFont val="Calibri"/>
        <family val="2"/>
        <scheme val="minor"/>
      </rPr>
      <t>-234</t>
    </r>
  </si>
  <si>
    <r>
      <rPr>
        <sz val="11"/>
        <rFont val="Calibri"/>
        <family val="2"/>
        <scheme val="minor"/>
      </rPr>
      <t>-413</t>
    </r>
  </si>
  <si>
    <r>
      <rPr>
        <sz val="11"/>
        <rFont val="Calibri"/>
        <family val="2"/>
        <scheme val="minor"/>
      </rPr>
      <t>-428</t>
    </r>
  </si>
  <si>
    <r>
      <rPr>
        <sz val="11"/>
        <rFont val="Calibri"/>
        <family val="2"/>
        <scheme val="minor"/>
      </rPr>
      <t>-303</t>
    </r>
  </si>
  <si>
    <r>
      <rPr>
        <sz val="11"/>
        <rFont val="Calibri"/>
        <family val="2"/>
        <scheme val="minor"/>
      </rPr>
      <t>-360</t>
    </r>
  </si>
  <si>
    <r>
      <rPr>
        <sz val="11"/>
        <rFont val="Calibri"/>
        <family val="2"/>
        <scheme val="minor"/>
      </rPr>
      <t>-404</t>
    </r>
  </si>
  <si>
    <r>
      <rPr>
        <sz val="11"/>
        <rFont val="Calibri"/>
        <family val="2"/>
        <scheme val="minor"/>
      </rPr>
      <t>-391</t>
    </r>
  </si>
  <si>
    <r>
      <rPr>
        <sz val="11"/>
        <rFont val="Calibri"/>
        <family val="2"/>
        <scheme val="minor"/>
      </rPr>
      <t>-319</t>
    </r>
  </si>
  <si>
    <r>
      <rPr>
        <sz val="11"/>
        <rFont val="Calibri"/>
        <family val="2"/>
        <scheme val="minor"/>
      </rPr>
      <t>-347</t>
    </r>
  </si>
  <si>
    <r>
      <rPr>
        <sz val="11"/>
        <rFont val="Calibri"/>
        <family val="2"/>
        <scheme val="minor"/>
      </rPr>
      <t>-392</t>
    </r>
  </si>
  <si>
    <r>
      <rPr>
        <sz val="11"/>
        <rFont val="Calibri"/>
        <family val="2"/>
        <scheme val="minor"/>
      </rPr>
      <t>-313</t>
    </r>
  </si>
  <si>
    <r>
      <rPr>
        <sz val="11"/>
        <rFont val="Calibri"/>
        <family val="2"/>
        <scheme val="minor"/>
      </rPr>
      <t>-279</t>
    </r>
  </si>
  <si>
    <r>
      <rPr>
        <sz val="11"/>
        <rFont val="Calibri"/>
        <family val="2"/>
        <scheme val="minor"/>
      </rPr>
      <t>-305</t>
    </r>
  </si>
  <si>
    <r>
      <rPr>
        <sz val="11"/>
        <rFont val="Calibri"/>
        <family val="2"/>
        <scheme val="minor"/>
      </rPr>
      <t>-339</t>
    </r>
  </si>
  <si>
    <r>
      <rPr>
        <sz val="11"/>
        <rFont val="Calibri"/>
        <family val="2"/>
        <scheme val="minor"/>
      </rPr>
      <t>-324</t>
    </r>
  </si>
  <si>
    <r>
      <rPr>
        <sz val="11"/>
        <rFont val="Calibri"/>
        <family val="2"/>
        <scheme val="minor"/>
      </rPr>
      <t>-215</t>
    </r>
  </si>
  <si>
    <t>Philippines</t>
  </si>
  <si>
    <t>Mangatarem</t>
  </si>
  <si>
    <t>Nagsasa</t>
  </si>
  <si>
    <t>Los Fuegos Eternos</t>
  </si>
  <si>
    <t>H₂ - CH4 type</t>
  </si>
  <si>
    <r>
      <rPr>
        <sz val="11"/>
        <rFont val="Calibri"/>
        <family val="2"/>
        <scheme val="minor"/>
      </rPr>
      <t>-13.3</t>
    </r>
  </si>
  <si>
    <t>-5.6</t>
  </si>
  <si>
    <t>-6.5</t>
  </si>
  <si>
    <r>
      <rPr>
        <sz val="11"/>
        <rFont val="Calibri"/>
        <family val="2"/>
        <scheme val="minor"/>
      </rPr>
      <t>-735</t>
    </r>
  </si>
  <si>
    <r>
      <rPr>
        <sz val="11"/>
        <rFont val="Calibri"/>
        <family val="2"/>
        <scheme val="minor"/>
      </rPr>
      <t>-395</t>
    </r>
  </si>
  <si>
    <r>
      <rPr>
        <sz val="11"/>
        <rFont val="Calibri"/>
        <family val="2"/>
        <scheme val="minor"/>
      </rPr>
      <t>-0.1</t>
    </r>
  </si>
  <si>
    <t>-664</t>
  </si>
  <si>
    <t>-163</t>
  </si>
  <si>
    <t>0.5</t>
  </si>
  <si>
    <t>-756</t>
  </si>
  <si>
    <t>-175</t>
  </si>
  <si>
    <t>4.35</t>
  </si>
  <si>
    <t>0.49</t>
  </si>
  <si>
    <t>Turkey</t>
  </si>
  <si>
    <t>Turkey XI2</t>
  </si>
  <si>
    <t>Turkey XI3</t>
  </si>
  <si>
    <t>-11.8</t>
  </si>
  <si>
    <t>-736</t>
  </si>
  <si>
    <t>-130</t>
  </si>
  <si>
    <t>-748</t>
  </si>
  <si>
    <t>-131</t>
  </si>
  <si>
    <t>0.31</t>
  </si>
  <si>
    <t>0.33</t>
  </si>
  <si>
    <t>Vacquand et al., 2018</t>
  </si>
  <si>
    <r>
      <rPr>
        <sz val="11"/>
        <rFont val="Calibri"/>
        <family val="2"/>
        <scheme val="minor"/>
      </rPr>
      <t>-32.4</t>
    </r>
  </si>
  <si>
    <r>
      <rPr>
        <sz val="11"/>
        <rFont val="Calibri"/>
        <family val="2"/>
        <scheme val="minor"/>
      </rPr>
      <t>-38.5</t>
    </r>
  </si>
  <si>
    <r>
      <rPr>
        <sz val="11"/>
        <rFont val="Calibri"/>
        <family val="2"/>
        <scheme val="minor"/>
      </rPr>
      <t>-34.9</t>
    </r>
  </si>
  <si>
    <r>
      <rPr>
        <sz val="11"/>
        <rFont val="Calibri"/>
        <family val="2"/>
        <scheme val="minor"/>
      </rPr>
      <t>-39</t>
    </r>
  </si>
  <si>
    <r>
      <rPr>
        <sz val="11"/>
        <rFont val="Calibri"/>
        <family val="2"/>
        <scheme val="minor"/>
      </rPr>
      <t>-39.2</t>
    </r>
  </si>
  <si>
    <r>
      <rPr>
        <sz val="11"/>
        <rFont val="Calibri"/>
        <family val="2"/>
        <scheme val="minor"/>
      </rPr>
      <t>-12.1</t>
    </r>
  </si>
  <si>
    <r>
      <rPr>
        <sz val="11"/>
        <rFont val="Calibri"/>
        <family val="2"/>
        <scheme val="minor"/>
      </rPr>
      <t>-16.4</t>
    </r>
  </si>
  <si>
    <t>3He/4He</t>
  </si>
  <si>
    <t>3He</t>
  </si>
  <si>
    <t>C2+</t>
  </si>
  <si>
    <t>He</t>
  </si>
  <si>
    <t>pH</t>
  </si>
  <si>
    <t>New Caledonia</t>
  </si>
  <si>
    <t>La Crouen</t>
  </si>
  <si>
    <t>Roc Aiguille</t>
  </si>
  <si>
    <t>Bahla 2008</t>
  </si>
  <si>
    <t>Bahla 2010</t>
  </si>
  <si>
    <t>Haylayn 2010</t>
  </si>
  <si>
    <t>Haylayn 2012-2a</t>
  </si>
  <si>
    <t>Haylayn 2012-2b</t>
  </si>
  <si>
    <t>Haylayn 2012-6</t>
  </si>
  <si>
    <t>Haylayn 2012-8</t>
  </si>
  <si>
    <t>Abyiad 2010</t>
  </si>
  <si>
    <t>Abyad 2012-29</t>
  </si>
  <si>
    <t>Abyad 2012-30</t>
  </si>
  <si>
    <t>Nagsaaa</t>
  </si>
  <si>
    <t>Los Fungos  Eternos</t>
  </si>
  <si>
    <t>Lat</t>
  </si>
  <si>
    <t>Long</t>
  </si>
  <si>
    <t>&lt;0.01</t>
  </si>
  <si>
    <t>120. 1282</t>
  </si>
  <si>
    <t>nan</t>
  </si>
  <si>
    <t>CO2/3He</t>
  </si>
  <si>
    <t>20Ne/36Ar</t>
  </si>
  <si>
    <t>84Kr/36Ar</t>
  </si>
  <si>
    <t>Eh (mV)</t>
  </si>
  <si>
    <t>T (°C)</t>
  </si>
  <si>
    <t>Type_gas</t>
  </si>
  <si>
    <t>Type_sample</t>
  </si>
  <si>
    <t>dry_gasseep</t>
  </si>
  <si>
    <t>bubbling_spring_alk</t>
  </si>
  <si>
    <t>bubbling_spring_nonalk</t>
  </si>
  <si>
    <t>bubbling_spring_alk_uw</t>
  </si>
  <si>
    <t>Sites</t>
  </si>
  <si>
    <t>Sample</t>
  </si>
  <si>
    <t xml:space="preserve">Carenage 1 </t>
  </si>
  <si>
    <t xml:space="preserve">Carenage 2 </t>
  </si>
  <si>
    <t>dD_H2O</t>
  </si>
  <si>
    <t>Japan</t>
  </si>
  <si>
    <t>Happo 1</t>
  </si>
  <si>
    <t>Happo 3</t>
  </si>
  <si>
    <t>water_ well_ 500m</t>
  </si>
  <si>
    <t>Suda et al., 2014</t>
  </si>
  <si>
    <t>36Ar/84Kr</t>
  </si>
  <si>
    <t>zThis study</t>
  </si>
  <si>
    <t>UAE</t>
  </si>
  <si>
    <t>Site 1a</t>
  </si>
  <si>
    <t>Site 91</t>
  </si>
  <si>
    <t>Site 107</t>
  </si>
  <si>
    <t>Site 114</t>
  </si>
  <si>
    <t>Pasquet et al., 2024</t>
  </si>
  <si>
    <t>B.Japonais 1</t>
  </si>
  <si>
    <t>B.Japonais 2</t>
  </si>
  <si>
    <t>B.Kaoris 1</t>
  </si>
  <si>
    <t>B.Kaoris 2</t>
  </si>
  <si>
    <t>R.Lembi 1</t>
  </si>
  <si>
    <t>R.Lembi 2</t>
  </si>
  <si>
    <t>R.Lembi 3</t>
  </si>
  <si>
    <t>R.La Coulée</t>
  </si>
  <si>
    <t>Pourina 1</t>
  </si>
  <si>
    <t>Pourina  2</t>
  </si>
  <si>
    <t xml:space="preserve">Poco Mie 1 </t>
  </si>
  <si>
    <t>Kaoris 1</t>
  </si>
  <si>
    <t>Kaoris 2</t>
  </si>
  <si>
    <t>Kaoris 3</t>
  </si>
  <si>
    <t>Pirogues</t>
  </si>
  <si>
    <t>Lembi 1B</t>
  </si>
  <si>
    <t>Lembi 2B</t>
  </si>
  <si>
    <t>Lembi A</t>
  </si>
  <si>
    <t>Coulee 1B</t>
  </si>
  <si>
    <t>Coulee 1C</t>
  </si>
  <si>
    <t>BJ1</t>
  </si>
  <si>
    <t>BJ2</t>
  </si>
  <si>
    <t>BK21</t>
  </si>
  <si>
    <t>BK22</t>
  </si>
  <si>
    <t>BK23</t>
  </si>
  <si>
    <t>Co</t>
  </si>
  <si>
    <t>Co1B</t>
  </si>
  <si>
    <t>Co1C</t>
  </si>
  <si>
    <t>L1</t>
  </si>
  <si>
    <t>L2</t>
  </si>
  <si>
    <t>L3</t>
  </si>
  <si>
    <t>L1B</t>
  </si>
  <si>
    <t>L2B</t>
  </si>
  <si>
    <t>LA</t>
  </si>
  <si>
    <t>Prg</t>
  </si>
  <si>
    <t>PM1</t>
  </si>
  <si>
    <t>Prn1</t>
  </si>
  <si>
    <t>Prn2</t>
  </si>
  <si>
    <t>Italy</t>
  </si>
  <si>
    <t>Larderello site1</t>
  </si>
  <si>
    <t>-22.0</t>
  </si>
  <si>
    <t>Leila et al., 2021</t>
  </si>
  <si>
    <t>HighTemp</t>
  </si>
  <si>
    <t>Larderello site2</t>
  </si>
  <si>
    <t>-21.5</t>
  </si>
  <si>
    <t>Larderello site3</t>
  </si>
  <si>
    <t>-16.7</t>
  </si>
  <si>
    <t>Larderello site4</t>
  </si>
  <si>
    <t>-21.7</t>
  </si>
  <si>
    <t>Larderello site5</t>
  </si>
  <si>
    <t>-23.3</t>
  </si>
  <si>
    <t>Larderello site6</t>
  </si>
  <si>
    <t>-29.56</t>
  </si>
  <si>
    <t>Larderello site7</t>
  </si>
  <si>
    <t>-27.2</t>
  </si>
  <si>
    <t>NA</t>
  </si>
  <si>
    <t>Larderello site8</t>
  </si>
  <si>
    <t>Sources/wells</t>
  </si>
  <si>
    <t xml:space="preserve">4He </t>
  </si>
  <si>
    <t xml:space="preserve"> 36Ar </t>
  </si>
  <si>
    <t xml:space="preserve"> 84Kr</t>
  </si>
  <si>
    <t>Reference</t>
  </si>
  <si>
    <t>Temp</t>
  </si>
  <si>
    <t>d15N</t>
  </si>
  <si>
    <t>L.Site1</t>
  </si>
  <si>
    <t>L.Site2</t>
  </si>
  <si>
    <t>L.Site3</t>
  </si>
  <si>
    <t>L.Site4</t>
  </si>
  <si>
    <t>L.Site5</t>
  </si>
  <si>
    <t>L.Site6</t>
  </si>
  <si>
    <t>L.Site7</t>
  </si>
  <si>
    <t>L.Site8</t>
  </si>
  <si>
    <t>LFE-2</t>
  </si>
  <si>
    <t>LFE-3</t>
  </si>
  <si>
    <t>Abrajano et al., 1988</t>
  </si>
  <si>
    <t>Izerumugaba et al., 2025 (In preparation)</t>
  </si>
  <si>
    <t>GPW-59</t>
  </si>
  <si>
    <t>GPW-124</t>
  </si>
  <si>
    <t>GPW-3A</t>
  </si>
  <si>
    <t>GPW-65</t>
  </si>
  <si>
    <t>GPW-115</t>
  </si>
  <si>
    <t>Mak-Ban P.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</si>
</sst>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\ _€_-;\-* #,##0.00\ _€_-;_-* &quot;-&quot;??\ _€_-;_-@_-"/>
    <numFmt numFmtId="164" formatCode="0.0"/>
    <numFmt numFmtId="165" formatCode="0.0000"/>
    <numFmt numFmtId="166" formatCode="0.0E+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0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2" fontId="3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2" fontId="0" fillId="0" borderId="0" xfId="0" applyNumberFormat="1" applyFont="1" applyBorder="1" applyAlignment="1">
      <alignment horizontal="center" vertical="center"/>
    </xf>
    <xf numFmtId="11" fontId="4" fillId="0" borderId="0" xfId="0" applyNumberFormat="1" applyFont="1" applyFill="1" applyBorder="1" applyAlignment="1">
      <alignment horizontal="center" vertical="center" shrinkToFit="1"/>
    </xf>
    <xf numFmtId="11" fontId="3" fillId="0" borderId="0" xfId="0" applyNumberFormat="1" applyFont="1" applyFill="1" applyBorder="1" applyAlignment="1">
      <alignment horizontal="center" vertical="center" wrapText="1"/>
    </xf>
    <xf numFmtId="11" fontId="0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/>
    <xf numFmtId="164" fontId="4" fillId="0" borderId="0" xfId="0" applyNumberFormat="1" applyFont="1" applyFill="1" applyBorder="1" applyAlignment="1">
      <alignment horizontal="center" vertical="center" shrinkToFit="1"/>
    </xf>
    <xf numFmtId="164" fontId="3" fillId="0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/>
    </xf>
    <xf numFmtId="164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 vertical="center" shrinkToFit="1"/>
    </xf>
    <xf numFmtId="165" fontId="4" fillId="0" borderId="0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 applyAlignment="1">
      <alignment horizontal="center" vertical="center"/>
    </xf>
    <xf numFmtId="165" fontId="4" fillId="0" borderId="0" xfId="0" applyNumberFormat="1" applyFont="1" applyFill="1" applyBorder="1" applyAlignment="1">
      <alignment horizontal="center" vertical="center" shrinkToFit="1"/>
    </xf>
    <xf numFmtId="0" fontId="4" fillId="0" borderId="0" xfId="0" applyNumberFormat="1" applyFont="1" applyFill="1" applyBorder="1" applyAlignment="1">
      <alignment horizontal="center" vertical="center" shrinkToFit="1"/>
    </xf>
    <xf numFmtId="166" fontId="4" fillId="0" borderId="0" xfId="0" applyNumberFormat="1" applyFont="1" applyFill="1" applyBorder="1" applyAlignment="1">
      <alignment horizontal="center" vertical="center" shrinkToFit="1"/>
    </xf>
    <xf numFmtId="1" fontId="1" fillId="0" borderId="0" xfId="0" applyNumberFormat="1" applyFont="1" applyBorder="1" applyAlignment="1">
      <alignment horizontal="center" vertical="center"/>
    </xf>
    <xf numFmtId="1" fontId="0" fillId="2" borderId="0" xfId="0" applyNumberFormat="1" applyFont="1" applyFill="1" applyAlignment="1">
      <alignment horizontal="right" vertical="center"/>
    </xf>
    <xf numFmtId="2" fontId="3" fillId="0" borderId="0" xfId="0" applyNumberFormat="1" applyFont="1" applyFill="1" applyBorder="1" applyAlignment="1">
      <alignment horizontal="right" vertical="center" wrapText="1"/>
    </xf>
    <xf numFmtId="2" fontId="0" fillId="0" borderId="0" xfId="0" applyNumberFormat="1" applyFont="1" applyFill="1" applyBorder="1" applyAlignment="1">
      <alignment horizontal="right" vertical="center" wrapText="1"/>
    </xf>
    <xf numFmtId="2" fontId="0" fillId="0" borderId="0" xfId="0" applyNumberFormat="1" applyFont="1" applyBorder="1" applyAlignment="1">
      <alignment horizontal="right" vertical="center"/>
    </xf>
    <xf numFmtId="0" fontId="0" fillId="0" borderId="0" xfId="0" applyFont="1" applyAlignment="1">
      <alignment horizontal="right"/>
    </xf>
    <xf numFmtId="0" fontId="0" fillId="0" borderId="0" xfId="0" applyFont="1" applyFill="1" applyBorder="1" applyAlignment="1">
      <alignment vertical="center"/>
    </xf>
    <xf numFmtId="0" fontId="0" fillId="0" borderId="0" xfId="0" applyFont="1" applyBorder="1"/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5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2" fontId="6" fillId="0" borderId="0" xfId="0" applyNumberFormat="1" applyFont="1" applyFill="1" applyBorder="1" applyAlignment="1">
      <alignment horizontal="center" vertical="center" shrinkToFit="1"/>
    </xf>
    <xf numFmtId="0" fontId="4" fillId="0" borderId="0" xfId="0" applyFont="1" applyBorder="1" applyAlignment="1">
      <alignment vertical="center"/>
    </xf>
    <xf numFmtId="2" fontId="4" fillId="0" borderId="0" xfId="0" applyNumberFormat="1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right" vertical="center"/>
    </xf>
    <xf numFmtId="164" fontId="4" fillId="0" borderId="0" xfId="0" applyNumberFormat="1" applyFont="1" applyBorder="1" applyAlignment="1">
      <alignment horizontal="center" vertical="center"/>
    </xf>
    <xf numFmtId="11" fontId="4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/>
    <xf numFmtId="1" fontId="0" fillId="2" borderId="0" xfId="0" applyNumberFormat="1" applyFont="1" applyFill="1" applyBorder="1" applyAlignment="1">
      <alignment horizontal="right" vertical="center"/>
    </xf>
    <xf numFmtId="1" fontId="0" fillId="0" borderId="0" xfId="0" applyNumberFormat="1" applyFont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top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3" fillId="2" borderId="0" xfId="0" applyFont="1" applyFill="1" applyBorder="1" applyAlignment="1">
      <alignment horizontal="left" vertical="center" wrapText="1"/>
    </xf>
    <xf numFmtId="0" fontId="0" fillId="3" borderId="0" xfId="0" applyFont="1" applyFill="1" applyBorder="1" applyAlignment="1">
      <alignment horizontal="left"/>
    </xf>
    <xf numFmtId="0" fontId="0" fillId="3" borderId="0" xfId="0" applyFont="1" applyFill="1" applyBorder="1"/>
    <xf numFmtId="164" fontId="0" fillId="0" borderId="0" xfId="0" applyNumberFormat="1" applyFont="1" applyAlignment="1">
      <alignment horizontal="right" vertical="center"/>
    </xf>
    <xf numFmtId="164" fontId="0" fillId="2" borderId="0" xfId="0" applyNumberFormat="1" applyFont="1" applyFill="1" applyAlignment="1">
      <alignment horizontal="right"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2" borderId="0" xfId="0" applyNumberFormat="1" applyFont="1" applyFill="1" applyAlignment="1">
      <alignment horizontal="right"/>
    </xf>
    <xf numFmtId="164" fontId="0" fillId="3" borderId="0" xfId="0" applyNumberFormat="1" applyFont="1" applyFill="1" applyBorder="1" applyAlignment="1">
      <alignment horizontal="right"/>
    </xf>
    <xf numFmtId="0" fontId="0" fillId="0" borderId="0" xfId="0" applyFont="1" applyAlignment="1">
      <alignment horizontal="center" vertical="center"/>
    </xf>
    <xf numFmtId="0" fontId="0" fillId="2" borderId="0" xfId="0" applyFont="1" applyFill="1"/>
    <xf numFmtId="1" fontId="0" fillId="0" borderId="0" xfId="0" applyNumberFormat="1" applyFont="1" applyAlignment="1">
      <alignment horizontal="center" vertical="center"/>
    </xf>
    <xf numFmtId="1" fontId="0" fillId="2" borderId="0" xfId="0" applyNumberFormat="1" applyFont="1" applyFill="1"/>
    <xf numFmtId="1" fontId="0" fillId="3" borderId="0" xfId="0" applyNumberFormat="1" applyFont="1" applyFill="1" applyBorder="1"/>
    <xf numFmtId="164" fontId="0" fillId="0" borderId="0" xfId="0" applyNumberFormat="1" applyFont="1" applyAlignment="1">
      <alignment horizontal="right"/>
    </xf>
    <xf numFmtId="164" fontId="3" fillId="2" borderId="0" xfId="1" applyNumberFormat="1" applyFont="1" applyFill="1" applyBorder="1" applyAlignment="1">
      <alignment horizontal="right" vertical="center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" fontId="0" fillId="3" borderId="0" xfId="0" applyNumberFormat="1" applyFont="1" applyFill="1" applyBorder="1" applyAlignment="1">
      <alignment horizontal="right" vertical="center"/>
    </xf>
    <xf numFmtId="2" fontId="3" fillId="2" borderId="0" xfId="1" applyNumberFormat="1" applyFont="1" applyFill="1" applyBorder="1" applyAlignment="1">
      <alignment horizontal="right" vertical="center"/>
    </xf>
    <xf numFmtId="0" fontId="8" fillId="3" borderId="0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11" fontId="0" fillId="0" borderId="0" xfId="0" applyNumberFormat="1" applyFont="1" applyAlignment="1">
      <alignment horizontal="center" vertical="center"/>
    </xf>
    <xf numFmtId="11" fontId="3" fillId="3" borderId="0" xfId="0" applyNumberFormat="1" applyFont="1" applyFill="1" applyBorder="1" applyAlignment="1">
      <alignment horizontal="center"/>
    </xf>
    <xf numFmtId="11" fontId="0" fillId="3" borderId="0" xfId="0" applyNumberFormat="1" applyFont="1" applyFill="1" applyBorder="1"/>
    <xf numFmtId="11" fontId="0" fillId="2" borderId="0" xfId="0" applyNumberFormat="1" applyFont="1" applyFill="1"/>
    <xf numFmtId="0" fontId="0" fillId="0" borderId="0" xfId="0" applyFont="1" applyFill="1" applyAlignment="1">
      <alignment vertical="center"/>
    </xf>
    <xf numFmtId="0" fontId="0" fillId="2" borderId="0" xfId="0" applyFont="1" applyFill="1" applyBorder="1"/>
    <xf numFmtId="0" fontId="9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1" fontId="12" fillId="0" borderId="0" xfId="0" applyNumberFormat="1" applyFont="1" applyBorder="1"/>
    <xf numFmtId="1" fontId="12" fillId="0" borderId="0" xfId="0" applyNumberFormat="1" applyFont="1" applyBorder="1" applyAlignment="1">
      <alignment horizontal="center"/>
    </xf>
    <xf numFmtId="164" fontId="12" fillId="0" borderId="0" xfId="0" applyNumberFormat="1" applyFont="1" applyBorder="1" applyAlignment="1">
      <alignment horizontal="center"/>
    </xf>
    <xf numFmtId="0" fontId="12" fillId="0" borderId="0" xfId="0" applyFont="1"/>
    <xf numFmtId="0" fontId="0" fillId="0" borderId="0" xfId="0" applyFont="1" applyFill="1" applyBorder="1"/>
    <xf numFmtId="0" fontId="3" fillId="4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1" fontId="3" fillId="4" borderId="0" xfId="0" applyNumberFormat="1" applyFont="1" applyFill="1" applyBorder="1" applyAlignment="1">
      <alignment horizontal="center" vertical="center"/>
    </xf>
    <xf numFmtId="2" fontId="3" fillId="4" borderId="0" xfId="0" applyNumberFormat="1" applyFont="1" applyFill="1" applyBorder="1" applyAlignment="1">
      <alignment horizontal="center" vertical="center"/>
    </xf>
    <xf numFmtId="164" fontId="0" fillId="4" borderId="0" xfId="0" applyNumberForma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8350884" cy="698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19303D4D-4192-484F-9986-E8EFDD808102}"/>
            </a:ext>
          </a:extLst>
        </xdr:cNvPr>
        <xdr:cNvSpPr/>
      </xdr:nvSpPr>
      <xdr:spPr>
        <a:xfrm>
          <a:off x="1836420" y="6202680"/>
          <a:ext cx="8350884" cy="6985"/>
        </a:xfrm>
        <a:custGeom>
          <a:avLst/>
          <a:gdLst/>
          <a:ahLst/>
          <a:cxnLst/>
          <a:rect l="0" t="0" r="0" b="0"/>
          <a:pathLst>
            <a:path w="8350884" h="6985">
              <a:moveTo>
                <a:pt x="8350554" y="6479"/>
              </a:moveTo>
              <a:lnTo>
                <a:pt x="8350554" y="0"/>
              </a:lnTo>
              <a:lnTo>
                <a:pt x="0" y="0"/>
              </a:lnTo>
              <a:lnTo>
                <a:pt x="0" y="6479"/>
              </a:lnTo>
              <a:lnTo>
                <a:pt x="8350554" y="6479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4BB0-C2C4-4F3D-A0A7-2E849FA03EA0}">
  <dimension ref="A1:AM66"/>
  <sheetViews>
    <sheetView workbookViewId="0">
      <pane xSplit="7" ySplit="1" topLeftCell="AG23" activePane="bottomRight" state="frozen"/>
      <selection pane="topRight" activeCell="H1" sqref="H1"/>
      <selection pane="bottomLeft" activeCell="A2" sqref="A2"/>
      <selection pane="bottomRight" activeCell="AL42" sqref="AL42"/>
    </sheetView>
  </sheetViews>
  <sheetFormatPr defaultRowHeight="14.4" x14ac:dyDescent="0.3"/>
  <cols>
    <col min="1" max="1" width="14.77734375" style="20" customWidth="1"/>
    <col min="2" max="3" width="17.33203125" style="20" customWidth="1"/>
    <col min="4" max="4" width="15.109375" style="20" customWidth="1"/>
    <col min="5" max="5" width="20.109375" style="20" customWidth="1"/>
    <col min="6" max="6" width="5.21875" style="20" customWidth="1"/>
    <col min="7" max="7" width="5" style="20" customWidth="1"/>
    <col min="8" max="8" width="10.44140625" style="20" customWidth="1"/>
    <col min="9" max="9" width="12.44140625" style="20" customWidth="1"/>
    <col min="10" max="10" width="9.88671875" style="21" customWidth="1"/>
    <col min="11" max="18" width="9.88671875" style="20" customWidth="1"/>
    <col min="19" max="19" width="7.77734375" style="20" customWidth="1"/>
    <col min="20" max="20" width="8.21875" style="20" customWidth="1"/>
    <col min="21" max="21" width="8.21875" style="44" customWidth="1"/>
    <col min="22" max="22" width="7.77734375" style="20" customWidth="1"/>
    <col min="23" max="24" width="10.21875" style="20" customWidth="1"/>
    <col min="25" max="28" width="9.44140625" style="20" customWidth="1"/>
    <col min="29" max="29" width="10.109375" style="20" customWidth="1"/>
    <col min="30" max="30" width="10.33203125" style="20" customWidth="1"/>
    <col min="31" max="31" width="6.88671875" style="20" customWidth="1"/>
    <col min="32" max="32" width="10.44140625" style="20" customWidth="1"/>
    <col min="33" max="34" width="10.88671875" style="20" customWidth="1"/>
    <col min="35" max="37" width="11.21875" style="20" customWidth="1"/>
    <col min="38" max="38" width="10.88671875" style="20" customWidth="1"/>
    <col min="39" max="39" width="43" style="20" customWidth="1"/>
    <col min="40" max="44" width="8.88671875" style="20"/>
    <col min="45" max="45" width="9.88671875" style="20" customWidth="1"/>
    <col min="46" max="46" width="10.109375" style="20" customWidth="1"/>
    <col min="47" max="47" width="8.109375" style="20" bestFit="1" customWidth="1"/>
    <col min="48" max="48" width="7.6640625" style="20" bestFit="1" customWidth="1"/>
    <col min="49" max="49" width="8.44140625" style="20" customWidth="1"/>
    <col min="50" max="50" width="7.88671875" style="20" bestFit="1" customWidth="1"/>
    <col min="51" max="51" width="8.88671875" style="20"/>
    <col min="52" max="52" width="10.5546875" style="20" customWidth="1"/>
    <col min="53" max="58" width="8.88671875" style="20"/>
    <col min="59" max="59" width="10.33203125" style="20" customWidth="1"/>
    <col min="60" max="60" width="12.33203125" style="20" customWidth="1"/>
    <col min="61" max="61" width="8.88671875" style="20"/>
    <col min="62" max="62" width="11.88671875" style="20" customWidth="1"/>
    <col min="63" max="63" width="8.5546875" style="20" bestFit="1" customWidth="1"/>
    <col min="64" max="66" width="8.88671875" style="20"/>
    <col min="67" max="67" width="9.88671875" style="20" customWidth="1"/>
    <col min="68" max="68" width="11.6640625" style="20" customWidth="1"/>
    <col min="69" max="69" width="10.5546875" style="20" customWidth="1"/>
    <col min="70" max="70" width="8.88671875" style="20"/>
    <col min="71" max="71" width="9.21875" style="20" customWidth="1"/>
    <col min="72" max="72" width="11.21875" style="20" customWidth="1"/>
    <col min="73" max="16384" width="8.88671875" style="20"/>
  </cols>
  <sheetData>
    <row r="1" spans="1:39" s="19" customFormat="1" x14ac:dyDescent="0.3">
      <c r="A1" s="1" t="s">
        <v>22</v>
      </c>
      <c r="B1" s="1" t="s">
        <v>185</v>
      </c>
      <c r="C1" s="1" t="s">
        <v>184</v>
      </c>
      <c r="D1" s="1" t="s">
        <v>178</v>
      </c>
      <c r="E1" s="1" t="s">
        <v>179</v>
      </c>
      <c r="F1" s="1" t="s">
        <v>31</v>
      </c>
      <c r="G1" s="1" t="s">
        <v>30</v>
      </c>
      <c r="H1" s="1" t="s">
        <v>168</v>
      </c>
      <c r="I1" s="1" t="s">
        <v>169</v>
      </c>
      <c r="J1" s="1" t="s">
        <v>177</v>
      </c>
      <c r="K1" s="1" t="s">
        <v>152</v>
      </c>
      <c r="L1" s="1" t="s">
        <v>176</v>
      </c>
      <c r="M1" s="1" t="s">
        <v>151</v>
      </c>
      <c r="N1" s="1" t="s">
        <v>0</v>
      </c>
      <c r="O1" s="1" t="s">
        <v>3</v>
      </c>
      <c r="P1" s="1" t="s">
        <v>1</v>
      </c>
      <c r="Q1" s="1" t="s">
        <v>2</v>
      </c>
      <c r="R1" s="1" t="s">
        <v>150</v>
      </c>
      <c r="S1" s="10" t="s">
        <v>72</v>
      </c>
      <c r="T1" s="1" t="s">
        <v>93</v>
      </c>
      <c r="U1" s="39" t="s">
        <v>188</v>
      </c>
      <c r="V1" s="10" t="s">
        <v>87</v>
      </c>
      <c r="W1" s="1" t="s">
        <v>62</v>
      </c>
      <c r="X1" s="1" t="s">
        <v>4</v>
      </c>
      <c r="Y1" s="1" t="s">
        <v>5</v>
      </c>
      <c r="Z1" s="1" t="s">
        <v>6</v>
      </c>
      <c r="AA1" s="1" t="s">
        <v>8</v>
      </c>
      <c r="AB1" s="1" t="s">
        <v>12</v>
      </c>
      <c r="AC1" s="1" t="s">
        <v>9</v>
      </c>
      <c r="AD1" s="4" t="s">
        <v>7</v>
      </c>
      <c r="AE1" s="1" t="s">
        <v>10</v>
      </c>
      <c r="AF1" s="4" t="s">
        <v>148</v>
      </c>
      <c r="AG1" s="4" t="s">
        <v>149</v>
      </c>
      <c r="AH1" s="4" t="s">
        <v>173</v>
      </c>
      <c r="AI1" s="4" t="s">
        <v>174</v>
      </c>
      <c r="AJ1" s="4" t="s">
        <v>194</v>
      </c>
      <c r="AK1" s="4" t="s">
        <v>175</v>
      </c>
      <c r="AL1" s="4"/>
      <c r="AM1" s="1" t="s">
        <v>24</v>
      </c>
    </row>
    <row r="2" spans="1:39" x14ac:dyDescent="0.3">
      <c r="A2" s="18" t="s">
        <v>153</v>
      </c>
      <c r="B2" s="20" t="s">
        <v>186</v>
      </c>
      <c r="C2" s="17" t="s">
        <v>13</v>
      </c>
      <c r="D2" s="5" t="s">
        <v>42</v>
      </c>
      <c r="E2" s="5" t="s">
        <v>181</v>
      </c>
      <c r="F2" s="20" t="s">
        <v>32</v>
      </c>
      <c r="G2" s="20" t="s">
        <v>26</v>
      </c>
      <c r="H2" s="34">
        <v>-22.3047</v>
      </c>
      <c r="I2" s="34">
        <v>166.8408</v>
      </c>
      <c r="J2" s="26">
        <v>-40.1</v>
      </c>
      <c r="K2" s="26">
        <v>10.8</v>
      </c>
      <c r="L2" s="27">
        <v>-285</v>
      </c>
      <c r="M2" s="27">
        <v>0.01</v>
      </c>
      <c r="N2" s="28">
        <v>36.1</v>
      </c>
      <c r="O2" s="28">
        <v>50.3</v>
      </c>
      <c r="P2" s="28">
        <v>13.7</v>
      </c>
      <c r="Q2" s="29">
        <v>0.01</v>
      </c>
      <c r="R2" s="29">
        <v>0.01</v>
      </c>
      <c r="S2" s="7" t="s">
        <v>172</v>
      </c>
      <c r="T2" s="7" t="s">
        <v>172</v>
      </c>
      <c r="U2" s="40">
        <v>-30</v>
      </c>
      <c r="V2" s="23" t="s">
        <v>172</v>
      </c>
      <c r="W2" s="23" t="s">
        <v>172</v>
      </c>
      <c r="X2" s="30" t="s">
        <v>141</v>
      </c>
      <c r="Y2" s="13">
        <v>3.8800000000000001E-6</v>
      </c>
      <c r="Z2" s="13">
        <v>1.4966999999999999E-5</v>
      </c>
      <c r="AA2" s="13">
        <v>2.2000000000000001E-6</v>
      </c>
      <c r="AB2" s="13">
        <v>1.4000000000000001E-7</v>
      </c>
      <c r="AC2" s="25">
        <v>308.60000000000002</v>
      </c>
      <c r="AD2" s="25">
        <f>Y2/Z2</f>
        <v>0.2592369880403555</v>
      </c>
      <c r="AE2" s="22">
        <v>1</v>
      </c>
      <c r="AF2" s="13">
        <f>AE2*(0.0000014)</f>
        <v>1.3999999999999999E-6</v>
      </c>
      <c r="AG2" s="13">
        <f>AF2*Y2</f>
        <v>5.4320000000000003E-12</v>
      </c>
      <c r="AH2" s="37" t="s">
        <v>172</v>
      </c>
      <c r="AI2" s="9">
        <f>Z2/AA2</f>
        <v>6.8031818181818178</v>
      </c>
      <c r="AJ2" s="9">
        <f>AA2/AB2</f>
        <v>15.714285714285714</v>
      </c>
      <c r="AK2" s="9">
        <f>AB2/AA2</f>
        <v>6.3636363636363644E-2</v>
      </c>
      <c r="AL2" s="37"/>
      <c r="AM2" s="20" t="s">
        <v>140</v>
      </c>
    </row>
    <row r="3" spans="1:39" s="46" customFormat="1" x14ac:dyDescent="0.3">
      <c r="A3" s="18" t="s">
        <v>153</v>
      </c>
      <c r="B3" s="46" t="s">
        <v>187</v>
      </c>
      <c r="C3" s="53" t="s">
        <v>14</v>
      </c>
      <c r="D3" s="5" t="s">
        <v>42</v>
      </c>
      <c r="E3" s="5" t="s">
        <v>181</v>
      </c>
      <c r="F3" s="46" t="s">
        <v>33</v>
      </c>
      <c r="G3" s="46" t="s">
        <v>26</v>
      </c>
      <c r="H3" s="34">
        <v>-22.3047</v>
      </c>
      <c r="I3" s="34">
        <v>166.8408</v>
      </c>
      <c r="J3" s="26">
        <v>31.6</v>
      </c>
      <c r="K3" s="26">
        <v>10.5</v>
      </c>
      <c r="L3" s="27">
        <v>-800</v>
      </c>
      <c r="M3" s="27">
        <v>0.01</v>
      </c>
      <c r="N3" s="28">
        <v>32.4</v>
      </c>
      <c r="O3" s="28">
        <v>51.9</v>
      </c>
      <c r="P3" s="28">
        <v>15.7</v>
      </c>
      <c r="Q3" s="29">
        <v>0.01</v>
      </c>
      <c r="R3" s="29">
        <v>0.01</v>
      </c>
      <c r="S3" s="7" t="s">
        <v>172</v>
      </c>
      <c r="T3" s="7" t="s">
        <v>172</v>
      </c>
      <c r="U3" s="59">
        <v>-30</v>
      </c>
      <c r="V3" s="23" t="s">
        <v>172</v>
      </c>
      <c r="W3" s="23" t="s">
        <v>172</v>
      </c>
      <c r="X3" s="23" t="s">
        <v>172</v>
      </c>
      <c r="Y3" s="13">
        <v>6.3999999999999997E-6</v>
      </c>
      <c r="Z3" s="13">
        <v>1.3032E-5</v>
      </c>
      <c r="AA3" s="13">
        <v>3.3699999999999999E-6</v>
      </c>
      <c r="AB3" s="13">
        <v>3.3000000000000002E-7</v>
      </c>
      <c r="AC3" s="49">
        <v>301.2</v>
      </c>
      <c r="AD3" s="49">
        <f t="shared" ref="AD3:AD39" si="0">Y3/Z3</f>
        <v>0.49109883364027007</v>
      </c>
      <c r="AE3" s="22">
        <v>0.43</v>
      </c>
      <c r="AF3" s="13">
        <f t="shared" ref="AF3:AF39" si="1">AE3*(0.0000014)</f>
        <v>6.0199999999999991E-7</v>
      </c>
      <c r="AG3" s="13">
        <f t="shared" ref="AG3:AG39" si="2">AF3*Y3</f>
        <v>3.8527999999999991E-12</v>
      </c>
      <c r="AH3" s="37" t="s">
        <v>172</v>
      </c>
      <c r="AI3" s="9">
        <f t="shared" ref="AI3:AJ39" si="3">Z3/AA3</f>
        <v>3.8670623145400596</v>
      </c>
      <c r="AJ3" s="9">
        <f t="shared" si="3"/>
        <v>10.212121212121211</v>
      </c>
      <c r="AK3" s="9">
        <f t="shared" ref="AK3:AK39" si="4">AB3/AA3</f>
        <v>9.7922848664688436E-2</v>
      </c>
      <c r="AL3" s="37"/>
      <c r="AM3" s="46" t="s">
        <v>140</v>
      </c>
    </row>
    <row r="4" spans="1:39" s="46" customFormat="1" x14ac:dyDescent="0.3">
      <c r="A4" s="18" t="s">
        <v>153</v>
      </c>
      <c r="B4" s="46" t="s">
        <v>15</v>
      </c>
      <c r="C4" s="53" t="s">
        <v>15</v>
      </c>
      <c r="D4" s="5" t="s">
        <v>42</v>
      </c>
      <c r="E4" s="5" t="s">
        <v>181</v>
      </c>
      <c r="F4" s="46" t="s">
        <v>34</v>
      </c>
      <c r="G4" s="46" t="s">
        <v>27</v>
      </c>
      <c r="H4" s="34">
        <v>-22.299199999999999</v>
      </c>
      <c r="I4" s="34">
        <v>166.86170000000001</v>
      </c>
      <c r="J4" s="26">
        <v>30.4</v>
      </c>
      <c r="K4" s="26">
        <v>10.9</v>
      </c>
      <c r="L4" s="27">
        <v>-480</v>
      </c>
      <c r="M4" s="27">
        <v>0.01</v>
      </c>
      <c r="N4" s="28">
        <v>26.8</v>
      </c>
      <c r="O4" s="28">
        <v>61.9</v>
      </c>
      <c r="P4" s="29">
        <v>11.3</v>
      </c>
      <c r="Q4" s="29">
        <v>0.01</v>
      </c>
      <c r="R4" s="29">
        <v>0.01</v>
      </c>
      <c r="S4" s="7" t="s">
        <v>172</v>
      </c>
      <c r="T4" s="7" t="s">
        <v>172</v>
      </c>
      <c r="U4" s="59">
        <v>-30</v>
      </c>
      <c r="V4" s="23" t="s">
        <v>172</v>
      </c>
      <c r="W4" s="23" t="s">
        <v>172</v>
      </c>
      <c r="X4" s="30" t="s">
        <v>142</v>
      </c>
      <c r="Y4" s="13">
        <v>3.9299999999999996E-6</v>
      </c>
      <c r="Z4" s="13">
        <v>1.2250999999999998E-5</v>
      </c>
      <c r="AA4" s="13">
        <v>2.3989999999999999E-5</v>
      </c>
      <c r="AB4" s="13">
        <v>4.6999999999999995E-7</v>
      </c>
      <c r="AC4" s="49">
        <v>315.2</v>
      </c>
      <c r="AD4" s="49">
        <f t="shared" si="0"/>
        <v>0.32079013958044245</v>
      </c>
      <c r="AE4" s="22">
        <v>1.56</v>
      </c>
      <c r="AF4" s="13">
        <f t="shared" si="1"/>
        <v>2.1840000000000002E-6</v>
      </c>
      <c r="AG4" s="13">
        <f t="shared" si="2"/>
        <v>8.5831200000000007E-12</v>
      </c>
      <c r="AH4" s="37" t="s">
        <v>172</v>
      </c>
      <c r="AI4" s="9">
        <f t="shared" si="3"/>
        <v>0.5106711129637348</v>
      </c>
      <c r="AJ4" s="9">
        <f t="shared" si="3"/>
        <v>51.042553191489368</v>
      </c>
      <c r="AK4" s="9">
        <f t="shared" si="4"/>
        <v>1.9591496456857021E-2</v>
      </c>
      <c r="AL4" s="37"/>
      <c r="AM4" s="46" t="s">
        <v>140</v>
      </c>
    </row>
    <row r="5" spans="1:39" s="46" customFormat="1" x14ac:dyDescent="0.3">
      <c r="A5" s="18" t="s">
        <v>153</v>
      </c>
      <c r="B5" s="46" t="s">
        <v>16</v>
      </c>
      <c r="C5" s="53" t="s">
        <v>16</v>
      </c>
      <c r="D5" s="5" t="s">
        <v>42</v>
      </c>
      <c r="E5" s="5" t="s">
        <v>181</v>
      </c>
      <c r="F5" s="46" t="s">
        <v>35</v>
      </c>
      <c r="G5" s="46" t="s">
        <v>27</v>
      </c>
      <c r="H5" s="34">
        <v>-22.299199999999999</v>
      </c>
      <c r="I5" s="34">
        <v>166.86170000000001</v>
      </c>
      <c r="J5" s="26">
        <v>30.5</v>
      </c>
      <c r="K5" s="26">
        <v>10.6</v>
      </c>
      <c r="L5" s="27">
        <v>-230</v>
      </c>
      <c r="M5" s="27">
        <v>0.01</v>
      </c>
      <c r="N5" s="28">
        <v>32.9</v>
      </c>
      <c r="O5" s="28">
        <v>55.3</v>
      </c>
      <c r="P5" s="29">
        <v>11.5</v>
      </c>
      <c r="Q5" s="29">
        <v>0.01</v>
      </c>
      <c r="R5" s="29">
        <v>0.01</v>
      </c>
      <c r="S5" s="7" t="s">
        <v>172</v>
      </c>
      <c r="T5" s="7" t="s">
        <v>172</v>
      </c>
      <c r="U5" s="59">
        <v>-30</v>
      </c>
      <c r="V5" s="23" t="s">
        <v>172</v>
      </c>
      <c r="W5" s="23" t="s">
        <v>172</v>
      </c>
      <c r="X5" s="30" t="s">
        <v>143</v>
      </c>
      <c r="Y5" s="13">
        <v>3.9899999999999999E-6</v>
      </c>
      <c r="Z5" s="13">
        <v>1.6423999999999997E-5</v>
      </c>
      <c r="AA5" s="13">
        <v>9.9699999999999994E-6</v>
      </c>
      <c r="AB5" s="13">
        <v>2.9999999999999999E-7</v>
      </c>
      <c r="AC5" s="49">
        <v>301.2</v>
      </c>
      <c r="AD5" s="49">
        <f t="shared" si="0"/>
        <v>0.24293716512420852</v>
      </c>
      <c r="AE5" s="22">
        <v>1.73</v>
      </c>
      <c r="AF5" s="13">
        <f t="shared" si="1"/>
        <v>2.4219999999999999E-6</v>
      </c>
      <c r="AG5" s="13">
        <f t="shared" si="2"/>
        <v>9.6637799999999998E-12</v>
      </c>
      <c r="AH5" s="37" t="s">
        <v>172</v>
      </c>
      <c r="AI5" s="9">
        <f t="shared" si="3"/>
        <v>1.6473420260782345</v>
      </c>
      <c r="AJ5" s="9">
        <f t="shared" si="3"/>
        <v>33.233333333333334</v>
      </c>
      <c r="AK5" s="9">
        <f t="shared" si="4"/>
        <v>3.0090270812437311E-2</v>
      </c>
      <c r="AL5" s="37"/>
      <c r="AM5" s="46" t="s">
        <v>140</v>
      </c>
    </row>
    <row r="6" spans="1:39" s="46" customFormat="1" x14ac:dyDescent="0.3">
      <c r="A6" s="18" t="s">
        <v>153</v>
      </c>
      <c r="B6" s="46" t="s">
        <v>17</v>
      </c>
      <c r="C6" s="53" t="s">
        <v>17</v>
      </c>
      <c r="D6" s="5" t="s">
        <v>42</v>
      </c>
      <c r="E6" s="5" t="s">
        <v>181</v>
      </c>
      <c r="F6" s="46" t="s">
        <v>36</v>
      </c>
      <c r="G6" s="46" t="s">
        <v>27</v>
      </c>
      <c r="H6" s="34">
        <v>-22.299199999999999</v>
      </c>
      <c r="I6" s="34">
        <v>166.86170000000001</v>
      </c>
      <c r="J6" s="26" t="s">
        <v>172</v>
      </c>
      <c r="K6" s="26">
        <v>10.6</v>
      </c>
      <c r="L6" s="27">
        <v>-285</v>
      </c>
      <c r="M6" s="27">
        <v>0.01</v>
      </c>
      <c r="N6" s="28">
        <v>29.8</v>
      </c>
      <c r="O6" s="28">
        <v>58.9</v>
      </c>
      <c r="P6" s="29">
        <v>11.3</v>
      </c>
      <c r="Q6" s="29">
        <v>0.01</v>
      </c>
      <c r="R6" s="29">
        <v>0.01</v>
      </c>
      <c r="S6" s="7" t="s">
        <v>172</v>
      </c>
      <c r="T6" s="7" t="s">
        <v>172</v>
      </c>
      <c r="U6" s="59">
        <v>-30</v>
      </c>
      <c r="V6" s="23" t="s">
        <v>172</v>
      </c>
      <c r="W6" s="23" t="s">
        <v>172</v>
      </c>
      <c r="X6" s="23" t="s">
        <v>172</v>
      </c>
      <c r="Y6" s="13">
        <v>3.9899999999999999E-6</v>
      </c>
      <c r="Z6" s="13">
        <v>9.55E-6</v>
      </c>
      <c r="AA6" s="13">
        <v>5.0799999999999996E-6</v>
      </c>
      <c r="AB6" s="13">
        <v>1.6E-7</v>
      </c>
      <c r="AC6" s="49">
        <v>292.89999999999998</v>
      </c>
      <c r="AD6" s="49">
        <f t="shared" si="0"/>
        <v>0.41780104712041882</v>
      </c>
      <c r="AE6" s="22">
        <v>1.76</v>
      </c>
      <c r="AF6" s="13">
        <f t="shared" si="1"/>
        <v>2.464E-6</v>
      </c>
      <c r="AG6" s="13">
        <f t="shared" si="2"/>
        <v>9.8313599999999998E-12</v>
      </c>
      <c r="AH6" s="37" t="s">
        <v>172</v>
      </c>
      <c r="AI6" s="9">
        <f t="shared" si="3"/>
        <v>1.8799212598425199</v>
      </c>
      <c r="AJ6" s="9">
        <f t="shared" si="3"/>
        <v>31.749999999999996</v>
      </c>
      <c r="AK6" s="9">
        <f t="shared" si="4"/>
        <v>3.1496062992125984E-2</v>
      </c>
      <c r="AL6" s="37"/>
      <c r="AM6" s="46" t="s">
        <v>140</v>
      </c>
    </row>
    <row r="7" spans="1:39" s="46" customFormat="1" x14ac:dyDescent="0.3">
      <c r="A7" s="18" t="s">
        <v>153</v>
      </c>
      <c r="B7" s="46" t="s">
        <v>18</v>
      </c>
      <c r="C7" s="18" t="s">
        <v>154</v>
      </c>
      <c r="D7" s="5" t="s">
        <v>43</v>
      </c>
      <c r="E7" s="5" t="s">
        <v>182</v>
      </c>
      <c r="F7" s="46" t="s">
        <v>37</v>
      </c>
      <c r="G7" s="46" t="s">
        <v>28</v>
      </c>
      <c r="H7" s="35">
        <v>-21.535</v>
      </c>
      <c r="I7" s="35">
        <v>165.88890000000001</v>
      </c>
      <c r="J7" s="31">
        <v>41.5</v>
      </c>
      <c r="K7" s="31">
        <v>9.1999999999999993</v>
      </c>
      <c r="L7" s="32">
        <v>-226</v>
      </c>
      <c r="M7" s="32">
        <v>0.1</v>
      </c>
      <c r="N7" s="29">
        <v>0.01</v>
      </c>
      <c r="O7" s="29">
        <v>97.2</v>
      </c>
      <c r="P7" s="29">
        <v>2.7</v>
      </c>
      <c r="Q7" s="29">
        <v>0.01</v>
      </c>
      <c r="R7" s="29">
        <v>0.01</v>
      </c>
      <c r="S7" s="7" t="s">
        <v>172</v>
      </c>
      <c r="T7" s="7" t="s">
        <v>172</v>
      </c>
      <c r="U7" s="60">
        <v>-31.2</v>
      </c>
      <c r="V7" s="23" t="s">
        <v>172</v>
      </c>
      <c r="W7" s="23" t="s">
        <v>172</v>
      </c>
      <c r="X7" s="30" t="s">
        <v>144</v>
      </c>
      <c r="Y7" s="13">
        <v>3.2091999999999998E-4</v>
      </c>
      <c r="Z7" s="13">
        <v>1.0392E-5</v>
      </c>
      <c r="AA7" s="13">
        <v>3.4199999999999999E-6</v>
      </c>
      <c r="AB7" s="13">
        <v>3.3000000000000002E-7</v>
      </c>
      <c r="AC7" s="49">
        <v>312.60000000000002</v>
      </c>
      <c r="AD7" s="49">
        <f t="shared" si="0"/>
        <v>30.881447267128561</v>
      </c>
      <c r="AE7" s="22">
        <v>7.0000000000000007E-2</v>
      </c>
      <c r="AF7" s="13">
        <f t="shared" si="1"/>
        <v>9.8000000000000004E-8</v>
      </c>
      <c r="AG7" s="13">
        <f t="shared" si="2"/>
        <v>3.1450160000000001E-11</v>
      </c>
      <c r="AH7" s="37" t="s">
        <v>172</v>
      </c>
      <c r="AI7" s="9">
        <f t="shared" si="3"/>
        <v>3.0385964912280703</v>
      </c>
      <c r="AJ7" s="9">
        <f t="shared" si="3"/>
        <v>10.363636363636363</v>
      </c>
      <c r="AK7" s="9">
        <f t="shared" si="4"/>
        <v>9.6491228070175447E-2</v>
      </c>
      <c r="AL7" s="37"/>
      <c r="AM7" s="46" t="s">
        <v>140</v>
      </c>
    </row>
    <row r="8" spans="1:39" s="46" customFormat="1" x14ac:dyDescent="0.3">
      <c r="A8" s="18" t="s">
        <v>153</v>
      </c>
      <c r="B8" s="46" t="s">
        <v>19</v>
      </c>
      <c r="C8" s="18" t="s">
        <v>154</v>
      </c>
      <c r="D8" s="5" t="s">
        <v>43</v>
      </c>
      <c r="E8" s="5" t="s">
        <v>182</v>
      </c>
      <c r="F8" s="46" t="s">
        <v>38</v>
      </c>
      <c r="G8" s="46" t="s">
        <v>28</v>
      </c>
      <c r="H8" s="35">
        <v>-21.535</v>
      </c>
      <c r="I8" s="35">
        <v>165.88890000000001</v>
      </c>
      <c r="J8" s="31">
        <v>41.5</v>
      </c>
      <c r="K8" s="31">
        <v>9.1999999999999993</v>
      </c>
      <c r="L8" s="32">
        <v>-230</v>
      </c>
      <c r="M8" s="32">
        <v>0.1</v>
      </c>
      <c r="N8" s="29">
        <v>0.01</v>
      </c>
      <c r="O8" s="29">
        <v>97.3</v>
      </c>
      <c r="P8" s="29">
        <v>2.7</v>
      </c>
      <c r="Q8" s="29">
        <v>0.01</v>
      </c>
      <c r="R8" s="29">
        <v>0.01</v>
      </c>
      <c r="S8" s="7" t="s">
        <v>172</v>
      </c>
      <c r="T8" s="7" t="s">
        <v>172</v>
      </c>
      <c r="U8" s="60">
        <v>-31.2</v>
      </c>
      <c r="V8" s="23" t="s">
        <v>172</v>
      </c>
      <c r="W8" s="23" t="s">
        <v>172</v>
      </c>
      <c r="X8" s="30" t="s">
        <v>145</v>
      </c>
      <c r="Y8" s="13">
        <v>9.9370000000000006E-5</v>
      </c>
      <c r="Z8" s="13">
        <v>1.1046999999999999E-5</v>
      </c>
      <c r="AA8" s="13">
        <v>1.33E-5</v>
      </c>
      <c r="AB8" s="13">
        <v>1.48E-6</v>
      </c>
      <c r="AC8" s="49">
        <v>304.60000000000002</v>
      </c>
      <c r="AD8" s="49">
        <f t="shared" si="0"/>
        <v>8.9952023173712323</v>
      </c>
      <c r="AE8" s="22">
        <v>0.06</v>
      </c>
      <c r="AF8" s="13">
        <f t="shared" si="1"/>
        <v>8.3999999999999998E-8</v>
      </c>
      <c r="AG8" s="13">
        <f t="shared" si="2"/>
        <v>8.34708E-12</v>
      </c>
      <c r="AH8" s="37" t="s">
        <v>172</v>
      </c>
      <c r="AI8" s="9">
        <f t="shared" si="3"/>
        <v>0.83060150375939845</v>
      </c>
      <c r="AJ8" s="9">
        <f t="shared" si="3"/>
        <v>8.986486486486486</v>
      </c>
      <c r="AK8" s="9">
        <f t="shared" si="4"/>
        <v>0.11127819548872181</v>
      </c>
      <c r="AL8" s="37"/>
      <c r="AM8" s="46" t="s">
        <v>140</v>
      </c>
    </row>
    <row r="9" spans="1:39" s="46" customFormat="1" x14ac:dyDescent="0.3">
      <c r="A9" s="18" t="s">
        <v>153</v>
      </c>
      <c r="B9" s="46" t="s">
        <v>20</v>
      </c>
      <c r="C9" s="18" t="s">
        <v>155</v>
      </c>
      <c r="D9" s="5" t="s">
        <v>43</v>
      </c>
      <c r="E9" s="5" t="s">
        <v>183</v>
      </c>
      <c r="F9" s="46" t="s">
        <v>39</v>
      </c>
      <c r="G9" s="46" t="s">
        <v>29</v>
      </c>
      <c r="H9" s="35">
        <v>-22.316700000000001</v>
      </c>
      <c r="I9" s="35">
        <v>166.83330000000001</v>
      </c>
      <c r="J9" s="31">
        <v>23.5</v>
      </c>
      <c r="K9" s="31">
        <v>9.9</v>
      </c>
      <c r="L9" s="32">
        <v>-180</v>
      </c>
      <c r="M9" s="32">
        <v>0.01</v>
      </c>
      <c r="N9" s="29">
        <v>0.1</v>
      </c>
      <c r="O9" s="29">
        <v>93.1</v>
      </c>
      <c r="P9" s="29">
        <v>5.0999999999999996</v>
      </c>
      <c r="Q9" s="29">
        <v>1.7</v>
      </c>
      <c r="R9" s="29">
        <v>0.01</v>
      </c>
      <c r="S9" s="7" t="s">
        <v>172</v>
      </c>
      <c r="T9" s="7" t="s">
        <v>172</v>
      </c>
      <c r="U9" s="59">
        <v>-30</v>
      </c>
      <c r="V9" s="23" t="s">
        <v>172</v>
      </c>
      <c r="W9" s="23" t="s">
        <v>172</v>
      </c>
      <c r="X9" s="30" t="s">
        <v>146</v>
      </c>
      <c r="Y9" s="14" t="s">
        <v>172</v>
      </c>
      <c r="Z9" s="14" t="s">
        <v>172</v>
      </c>
      <c r="AA9" s="14" t="s">
        <v>172</v>
      </c>
      <c r="AB9" s="14" t="s">
        <v>172</v>
      </c>
      <c r="AC9" s="48" t="s">
        <v>172</v>
      </c>
      <c r="AD9" s="23" t="s">
        <v>172</v>
      </c>
      <c r="AE9" s="23" t="s">
        <v>172</v>
      </c>
      <c r="AF9" s="7" t="s">
        <v>172</v>
      </c>
      <c r="AG9" s="7" t="s">
        <v>172</v>
      </c>
      <c r="AH9" s="37" t="s">
        <v>172</v>
      </c>
      <c r="AI9" s="37" t="s">
        <v>172</v>
      </c>
      <c r="AJ9" s="37" t="s">
        <v>172</v>
      </c>
      <c r="AK9" s="37" t="s">
        <v>172</v>
      </c>
      <c r="AL9" s="37"/>
      <c r="AM9" s="46" t="s">
        <v>140</v>
      </c>
    </row>
    <row r="10" spans="1:39" s="46" customFormat="1" x14ac:dyDescent="0.3">
      <c r="A10" s="18" t="s">
        <v>153</v>
      </c>
      <c r="B10" s="46" t="s">
        <v>21</v>
      </c>
      <c r="C10" s="18" t="s">
        <v>155</v>
      </c>
      <c r="D10" s="5" t="s">
        <v>43</v>
      </c>
      <c r="E10" s="5" t="s">
        <v>183</v>
      </c>
      <c r="F10" s="46" t="s">
        <v>40</v>
      </c>
      <c r="G10" s="46" t="s">
        <v>29</v>
      </c>
      <c r="H10" s="35">
        <v>-22.316700000000001</v>
      </c>
      <c r="I10" s="35">
        <v>166.83330000000001</v>
      </c>
      <c r="J10" s="31">
        <v>23.5</v>
      </c>
      <c r="K10" s="31">
        <v>10</v>
      </c>
      <c r="L10" s="32">
        <v>-210</v>
      </c>
      <c r="M10" s="32">
        <v>0.01</v>
      </c>
      <c r="N10" s="29">
        <v>0.01</v>
      </c>
      <c r="O10" s="29">
        <v>91.4</v>
      </c>
      <c r="P10" s="29">
        <v>8.5</v>
      </c>
      <c r="Q10" s="29">
        <v>0.1</v>
      </c>
      <c r="R10" s="29">
        <v>0.01</v>
      </c>
      <c r="S10" s="7" t="s">
        <v>172</v>
      </c>
      <c r="T10" s="7" t="s">
        <v>172</v>
      </c>
      <c r="U10" s="59">
        <v>-30</v>
      </c>
      <c r="V10" s="23" t="s">
        <v>172</v>
      </c>
      <c r="W10" s="23" t="s">
        <v>172</v>
      </c>
      <c r="X10" s="30" t="s">
        <v>147</v>
      </c>
      <c r="Y10" s="14" t="s">
        <v>172</v>
      </c>
      <c r="Z10" s="14" t="s">
        <v>172</v>
      </c>
      <c r="AA10" s="14" t="s">
        <v>172</v>
      </c>
      <c r="AB10" s="14" t="s">
        <v>172</v>
      </c>
      <c r="AC10" s="48" t="s">
        <v>172</v>
      </c>
      <c r="AD10" s="23" t="s">
        <v>172</v>
      </c>
      <c r="AE10" s="23" t="s">
        <v>172</v>
      </c>
      <c r="AF10" s="7" t="s">
        <v>172</v>
      </c>
      <c r="AG10" s="7" t="s">
        <v>172</v>
      </c>
      <c r="AH10" s="37" t="s">
        <v>172</v>
      </c>
      <c r="AI10" s="37" t="s">
        <v>172</v>
      </c>
      <c r="AJ10" s="37" t="s">
        <v>172</v>
      </c>
      <c r="AK10" s="37" t="s">
        <v>172</v>
      </c>
      <c r="AL10" s="37"/>
      <c r="AM10" s="46" t="s">
        <v>140</v>
      </c>
    </row>
    <row r="11" spans="1:39" s="46" customFormat="1" x14ac:dyDescent="0.3">
      <c r="A11" s="5" t="s">
        <v>44</v>
      </c>
      <c r="B11" s="6" t="s">
        <v>45</v>
      </c>
      <c r="C11" s="6" t="s">
        <v>45</v>
      </c>
      <c r="D11" s="5" t="s">
        <v>61</v>
      </c>
      <c r="E11" s="5" t="s">
        <v>181</v>
      </c>
      <c r="F11" s="46" t="s">
        <v>172</v>
      </c>
      <c r="G11" s="46" t="s">
        <v>172</v>
      </c>
      <c r="H11" s="35">
        <v>23.406099999999999</v>
      </c>
      <c r="I11" s="35">
        <v>56.863300000000002</v>
      </c>
      <c r="J11" s="31">
        <v>32</v>
      </c>
      <c r="K11" s="31">
        <v>11.7</v>
      </c>
      <c r="L11" s="32">
        <v>-225</v>
      </c>
      <c r="M11" s="32">
        <v>0.01</v>
      </c>
      <c r="N11" s="29">
        <v>87.3</v>
      </c>
      <c r="O11" s="29">
        <v>9.8000000000000007</v>
      </c>
      <c r="P11" s="29">
        <v>2.9</v>
      </c>
      <c r="Q11" s="29">
        <v>0.01</v>
      </c>
      <c r="R11" s="29">
        <v>0.01</v>
      </c>
      <c r="S11" s="7" t="s">
        <v>172</v>
      </c>
      <c r="T11" s="7" t="s">
        <v>172</v>
      </c>
      <c r="U11" s="41">
        <v>4.05</v>
      </c>
      <c r="V11" s="23" t="s">
        <v>172</v>
      </c>
      <c r="W11" s="23" t="s">
        <v>172</v>
      </c>
      <c r="X11" s="30" t="s">
        <v>63</v>
      </c>
      <c r="Y11" s="14" t="s">
        <v>172</v>
      </c>
      <c r="Z11" s="14" t="s">
        <v>172</v>
      </c>
      <c r="AA11" s="14" t="s">
        <v>172</v>
      </c>
      <c r="AB11" s="14" t="s">
        <v>172</v>
      </c>
      <c r="AC11" s="48" t="s">
        <v>172</v>
      </c>
      <c r="AD11" s="23" t="s">
        <v>172</v>
      </c>
      <c r="AE11" s="23" t="s">
        <v>172</v>
      </c>
      <c r="AF11" s="7" t="s">
        <v>172</v>
      </c>
      <c r="AG11" s="7" t="s">
        <v>172</v>
      </c>
      <c r="AH11" s="37" t="s">
        <v>172</v>
      </c>
      <c r="AI11" s="37" t="s">
        <v>172</v>
      </c>
      <c r="AJ11" s="37" t="s">
        <v>172</v>
      </c>
      <c r="AK11" s="37" t="s">
        <v>172</v>
      </c>
      <c r="AL11" s="37"/>
      <c r="AM11" s="46" t="s">
        <v>140</v>
      </c>
    </row>
    <row r="12" spans="1:39" s="46" customFormat="1" x14ac:dyDescent="0.3">
      <c r="A12" s="5" t="s">
        <v>44</v>
      </c>
      <c r="B12" s="6" t="s">
        <v>46</v>
      </c>
      <c r="C12" s="6" t="s">
        <v>46</v>
      </c>
      <c r="D12" s="5" t="s">
        <v>61</v>
      </c>
      <c r="E12" s="5" t="s">
        <v>181</v>
      </c>
      <c r="F12" s="46" t="s">
        <v>172</v>
      </c>
      <c r="G12" s="46" t="s">
        <v>172</v>
      </c>
      <c r="H12" s="35">
        <v>23.683299999999999</v>
      </c>
      <c r="I12" s="35">
        <v>56.939599999999999</v>
      </c>
      <c r="J12" s="31">
        <v>25.6</v>
      </c>
      <c r="K12" s="31">
        <v>11.3</v>
      </c>
      <c r="L12" s="32">
        <v>-244</v>
      </c>
      <c r="M12" s="32">
        <v>0.01</v>
      </c>
      <c r="N12" s="29">
        <v>85.9</v>
      </c>
      <c r="O12" s="29">
        <v>9.4</v>
      </c>
      <c r="P12" s="29">
        <v>4.5999999999999996</v>
      </c>
      <c r="Q12" s="29">
        <v>0.01</v>
      </c>
      <c r="R12" s="29">
        <v>0.01</v>
      </c>
      <c r="S12" s="8" t="s">
        <v>73</v>
      </c>
      <c r="T12" s="8" t="s">
        <v>94</v>
      </c>
      <c r="U12" s="41">
        <v>4.05</v>
      </c>
      <c r="V12" s="23" t="s">
        <v>172</v>
      </c>
      <c r="W12" s="23" t="s">
        <v>172</v>
      </c>
      <c r="X12" s="30" t="s">
        <v>64</v>
      </c>
      <c r="Y12" s="13">
        <v>1.8700000000000001E-6</v>
      </c>
      <c r="Z12" s="14" t="s">
        <v>172</v>
      </c>
      <c r="AA12" s="13">
        <v>6.7599999999999997E-6</v>
      </c>
      <c r="AB12" s="13">
        <v>1.9999999999999999E-7</v>
      </c>
      <c r="AC12" s="48" t="s">
        <v>172</v>
      </c>
      <c r="AD12" s="23" t="s">
        <v>172</v>
      </c>
      <c r="AE12" s="22">
        <v>0.77</v>
      </c>
      <c r="AF12" s="13">
        <f t="shared" si="1"/>
        <v>1.0779999999999999E-6</v>
      </c>
      <c r="AG12" s="13">
        <f t="shared" si="2"/>
        <v>2.0158599999999999E-12</v>
      </c>
      <c r="AH12" s="37" t="s">
        <v>172</v>
      </c>
      <c r="AI12" s="37" t="s">
        <v>172</v>
      </c>
      <c r="AJ12" s="9">
        <f t="shared" si="3"/>
        <v>33.799999999999997</v>
      </c>
      <c r="AK12" s="9">
        <f t="shared" si="4"/>
        <v>2.9585798816568049E-2</v>
      </c>
      <c r="AL12" s="37"/>
      <c r="AM12" s="46" t="s">
        <v>140</v>
      </c>
    </row>
    <row r="13" spans="1:39" s="46" customFormat="1" x14ac:dyDescent="0.3">
      <c r="A13" s="5" t="s">
        <v>44</v>
      </c>
      <c r="B13" s="6" t="s">
        <v>47</v>
      </c>
      <c r="C13" s="6" t="s">
        <v>156</v>
      </c>
      <c r="D13" s="5" t="s">
        <v>61</v>
      </c>
      <c r="E13" s="5" t="s">
        <v>181</v>
      </c>
      <c r="F13" s="46" t="s">
        <v>172</v>
      </c>
      <c r="G13" s="46" t="s">
        <v>172</v>
      </c>
      <c r="H13" s="35">
        <v>22.9922</v>
      </c>
      <c r="I13" s="35">
        <v>57.293199999999999</v>
      </c>
      <c r="J13" s="31">
        <v>35</v>
      </c>
      <c r="K13" s="31">
        <v>11.6</v>
      </c>
      <c r="L13" s="32">
        <v>-465</v>
      </c>
      <c r="M13" s="32">
        <v>0.01</v>
      </c>
      <c r="N13" s="29">
        <v>85.7</v>
      </c>
      <c r="O13" s="29">
        <v>12.4</v>
      </c>
      <c r="P13" s="29">
        <v>1.9</v>
      </c>
      <c r="Q13" s="29">
        <v>0.01</v>
      </c>
      <c r="R13" s="29">
        <v>0.01</v>
      </c>
      <c r="S13" s="8" t="s">
        <v>74</v>
      </c>
      <c r="T13" s="8" t="s">
        <v>95</v>
      </c>
      <c r="U13" s="41">
        <v>4.05</v>
      </c>
      <c r="V13" s="23" t="s">
        <v>172</v>
      </c>
      <c r="W13" s="23" t="s">
        <v>172</v>
      </c>
      <c r="X13" s="30" t="s">
        <v>65</v>
      </c>
      <c r="Y13" s="13">
        <v>2.4999999999999998E-6</v>
      </c>
      <c r="Z13" s="13">
        <v>3.6869999999999996E-6</v>
      </c>
      <c r="AA13" s="13">
        <v>1.5189999999999999E-5</v>
      </c>
      <c r="AB13" s="13">
        <v>3.7999999999999996E-7</v>
      </c>
      <c r="AC13" s="48" t="s">
        <v>172</v>
      </c>
      <c r="AD13" s="49">
        <f t="shared" si="0"/>
        <v>0.67805804176837536</v>
      </c>
      <c r="AE13" s="22">
        <v>0.37</v>
      </c>
      <c r="AF13" s="13">
        <f t="shared" si="1"/>
        <v>5.1799999999999995E-7</v>
      </c>
      <c r="AG13" s="13">
        <f t="shared" si="2"/>
        <v>1.2949999999999998E-12</v>
      </c>
      <c r="AH13" s="37" t="s">
        <v>172</v>
      </c>
      <c r="AI13" s="9">
        <f t="shared" si="3"/>
        <v>0.24272547728768926</v>
      </c>
      <c r="AJ13" s="9">
        <f t="shared" si="3"/>
        <v>39.973684210526315</v>
      </c>
      <c r="AK13" s="9">
        <f t="shared" si="4"/>
        <v>2.5016458196181698E-2</v>
      </c>
      <c r="AL13" s="37"/>
      <c r="AM13" s="46" t="s">
        <v>140</v>
      </c>
    </row>
    <row r="14" spans="1:39" s="46" customFormat="1" x14ac:dyDescent="0.3">
      <c r="A14" s="5" t="s">
        <v>44</v>
      </c>
      <c r="B14" s="6" t="s">
        <v>48</v>
      </c>
      <c r="C14" s="6" t="s">
        <v>157</v>
      </c>
      <c r="D14" s="5" t="s">
        <v>61</v>
      </c>
      <c r="E14" s="5" t="s">
        <v>181</v>
      </c>
      <c r="F14" s="46" t="s">
        <v>172</v>
      </c>
      <c r="G14" s="46" t="s">
        <v>172</v>
      </c>
      <c r="H14" s="35">
        <v>22.9922</v>
      </c>
      <c r="I14" s="35">
        <v>57.293199999999999</v>
      </c>
      <c r="J14" s="31">
        <v>34.9</v>
      </c>
      <c r="K14" s="31">
        <v>11.4</v>
      </c>
      <c r="L14" s="32">
        <v>-780</v>
      </c>
      <c r="M14" s="32" t="s">
        <v>172</v>
      </c>
      <c r="N14" s="29" t="s">
        <v>172</v>
      </c>
      <c r="O14" s="29" t="s">
        <v>172</v>
      </c>
      <c r="P14" s="29" t="s">
        <v>172</v>
      </c>
      <c r="Q14" s="29" t="s">
        <v>172</v>
      </c>
      <c r="R14" s="29" t="s">
        <v>172</v>
      </c>
      <c r="S14" s="8" t="s">
        <v>75</v>
      </c>
      <c r="T14" s="8" t="s">
        <v>96</v>
      </c>
      <c r="U14" s="41">
        <v>4.05</v>
      </c>
      <c r="V14" s="23" t="s">
        <v>172</v>
      </c>
      <c r="W14" s="23" t="s">
        <v>172</v>
      </c>
      <c r="X14" s="23" t="s">
        <v>172</v>
      </c>
      <c r="Y14" s="13">
        <v>2.0800000000000001E-5</v>
      </c>
      <c r="Z14" s="13">
        <v>2.2399999999999999E-7</v>
      </c>
      <c r="AA14" s="13">
        <v>7.7800000000000001E-6</v>
      </c>
      <c r="AB14" s="13">
        <v>2.3999999999999998E-7</v>
      </c>
      <c r="AC14" s="48" t="s">
        <v>172</v>
      </c>
      <c r="AD14" s="49">
        <f t="shared" si="0"/>
        <v>92.857142857142861</v>
      </c>
      <c r="AE14" s="22">
        <v>0.17</v>
      </c>
      <c r="AF14" s="13">
        <f t="shared" si="1"/>
        <v>2.3800000000000001E-7</v>
      </c>
      <c r="AG14" s="13">
        <f t="shared" si="2"/>
        <v>4.9504000000000004E-12</v>
      </c>
      <c r="AH14" s="37" t="s">
        <v>172</v>
      </c>
      <c r="AI14" s="9">
        <f t="shared" si="3"/>
        <v>2.8791773778920306E-2</v>
      </c>
      <c r="AJ14" s="9">
        <f t="shared" si="3"/>
        <v>32.416666666666671</v>
      </c>
      <c r="AK14" s="9">
        <f t="shared" si="4"/>
        <v>3.0848329048843184E-2</v>
      </c>
      <c r="AL14" s="37"/>
      <c r="AM14" s="46" t="s">
        <v>140</v>
      </c>
    </row>
    <row r="15" spans="1:39" s="46" customFormat="1" x14ac:dyDescent="0.3">
      <c r="A15" s="5" t="s">
        <v>44</v>
      </c>
      <c r="B15" s="6" t="s">
        <v>49</v>
      </c>
      <c r="C15" s="6" t="s">
        <v>49</v>
      </c>
      <c r="D15" s="5" t="s">
        <v>61</v>
      </c>
      <c r="E15" s="5" t="s">
        <v>181</v>
      </c>
      <c r="F15" s="46" t="s">
        <v>172</v>
      </c>
      <c r="G15" s="46" t="s">
        <v>172</v>
      </c>
      <c r="H15" s="35">
        <v>22.9922</v>
      </c>
      <c r="I15" s="35">
        <v>57.293199999999999</v>
      </c>
      <c r="J15" s="31">
        <v>34.9</v>
      </c>
      <c r="K15" s="31">
        <v>11.3</v>
      </c>
      <c r="L15" s="32">
        <v>-447</v>
      </c>
      <c r="M15" s="32">
        <v>0.01</v>
      </c>
      <c r="N15" s="29">
        <v>85.7</v>
      </c>
      <c r="O15" s="29">
        <v>12</v>
      </c>
      <c r="P15" s="29">
        <v>2.2000000000000002</v>
      </c>
      <c r="Q15" s="29">
        <v>0.01</v>
      </c>
      <c r="R15" s="29">
        <v>0.02</v>
      </c>
      <c r="S15" s="8" t="s">
        <v>76</v>
      </c>
      <c r="T15" s="8" t="s">
        <v>97</v>
      </c>
      <c r="U15" s="41">
        <v>4.05</v>
      </c>
      <c r="V15" s="23" t="s">
        <v>172</v>
      </c>
      <c r="W15" s="23" t="s">
        <v>172</v>
      </c>
      <c r="X15" s="23" t="s">
        <v>172</v>
      </c>
      <c r="Y15" s="13">
        <v>1.1599999999999999E-6</v>
      </c>
      <c r="Z15" s="13">
        <v>8.639999999999999E-7</v>
      </c>
      <c r="AA15" s="13">
        <v>8.8000000000000004E-6</v>
      </c>
      <c r="AB15" s="13">
        <v>2.4999999999999999E-7</v>
      </c>
      <c r="AC15" s="48" t="s">
        <v>172</v>
      </c>
      <c r="AD15" s="49">
        <f t="shared" si="0"/>
        <v>1.3425925925925926</v>
      </c>
      <c r="AE15" s="22">
        <v>0.93</v>
      </c>
      <c r="AF15" s="13">
        <f t="shared" si="1"/>
        <v>1.302E-6</v>
      </c>
      <c r="AG15" s="13">
        <f t="shared" si="2"/>
        <v>1.5103199999999998E-12</v>
      </c>
      <c r="AH15" s="37" t="s">
        <v>172</v>
      </c>
      <c r="AI15" s="9">
        <f t="shared" si="3"/>
        <v>9.8181818181818162E-2</v>
      </c>
      <c r="AJ15" s="9">
        <f t="shared" si="3"/>
        <v>35.200000000000003</v>
      </c>
      <c r="AK15" s="9">
        <f t="shared" si="4"/>
        <v>2.8409090909090905E-2</v>
      </c>
      <c r="AL15" s="37"/>
      <c r="AM15" s="46" t="s">
        <v>140</v>
      </c>
    </row>
    <row r="16" spans="1:39" s="46" customFormat="1" x14ac:dyDescent="0.3">
      <c r="A16" s="5" t="s">
        <v>44</v>
      </c>
      <c r="B16" s="6" t="s">
        <v>50</v>
      </c>
      <c r="C16" s="6" t="s">
        <v>50</v>
      </c>
      <c r="D16" s="5" t="s">
        <v>61</v>
      </c>
      <c r="E16" s="5" t="s">
        <v>181</v>
      </c>
      <c r="F16" s="46" t="s">
        <v>172</v>
      </c>
      <c r="G16" s="46" t="s">
        <v>172</v>
      </c>
      <c r="H16" s="35">
        <v>23.9588</v>
      </c>
      <c r="I16" s="35">
        <v>56.44</v>
      </c>
      <c r="J16" s="31">
        <v>22.5</v>
      </c>
      <c r="K16" s="31">
        <v>9.5</v>
      </c>
      <c r="L16" s="32">
        <v>-80</v>
      </c>
      <c r="M16" s="32">
        <v>0.01</v>
      </c>
      <c r="N16" s="29">
        <v>85.4</v>
      </c>
      <c r="O16" s="29">
        <v>14.5</v>
      </c>
      <c r="P16" s="29">
        <v>0.1</v>
      </c>
      <c r="Q16" s="29">
        <v>0.01</v>
      </c>
      <c r="R16" s="29">
        <v>0.01</v>
      </c>
      <c r="S16" s="29" t="s">
        <v>172</v>
      </c>
      <c r="T16" s="8" t="s">
        <v>98</v>
      </c>
      <c r="U16" s="41">
        <v>4.05</v>
      </c>
      <c r="V16" s="23" t="s">
        <v>172</v>
      </c>
      <c r="W16" s="23" t="s">
        <v>172</v>
      </c>
      <c r="X16" s="30" t="s">
        <v>66</v>
      </c>
      <c r="Y16" s="13">
        <v>2.7E-6</v>
      </c>
      <c r="Z16" s="13">
        <v>3.676E-6</v>
      </c>
      <c r="AA16" s="13">
        <v>1.5359999999999999E-5</v>
      </c>
      <c r="AB16" s="13">
        <v>4.2999999999999996E-7</v>
      </c>
      <c r="AC16" s="48" t="s">
        <v>172</v>
      </c>
      <c r="AD16" s="49">
        <f t="shared" si="0"/>
        <v>0.73449401523394997</v>
      </c>
      <c r="AE16" s="22">
        <v>0.41</v>
      </c>
      <c r="AF16" s="13">
        <f t="shared" si="1"/>
        <v>5.7399999999999993E-7</v>
      </c>
      <c r="AG16" s="13">
        <f t="shared" si="2"/>
        <v>1.5497999999999997E-12</v>
      </c>
      <c r="AH16" s="37" t="s">
        <v>172</v>
      </c>
      <c r="AI16" s="9">
        <f t="shared" si="3"/>
        <v>0.23932291666666669</v>
      </c>
      <c r="AJ16" s="9">
        <f t="shared" si="3"/>
        <v>35.720930232558139</v>
      </c>
      <c r="AK16" s="9">
        <f t="shared" si="4"/>
        <v>2.7994791666666668E-2</v>
      </c>
      <c r="AL16" s="37"/>
      <c r="AM16" s="46" t="s">
        <v>140</v>
      </c>
    </row>
    <row r="17" spans="1:39" s="46" customFormat="1" x14ac:dyDescent="0.3">
      <c r="A17" s="5" t="s">
        <v>44</v>
      </c>
      <c r="B17" s="6" t="s">
        <v>51</v>
      </c>
      <c r="C17" s="6" t="s">
        <v>158</v>
      </c>
      <c r="D17" s="5" t="s">
        <v>61</v>
      </c>
      <c r="E17" s="5" t="s">
        <v>181</v>
      </c>
      <c r="F17" s="46" t="s">
        <v>172</v>
      </c>
      <c r="G17" s="46" t="s">
        <v>172</v>
      </c>
      <c r="H17" s="35">
        <v>23.619900000000001</v>
      </c>
      <c r="I17" s="35">
        <v>57.113199999999999</v>
      </c>
      <c r="J17" s="31">
        <v>28.2</v>
      </c>
      <c r="K17" s="31">
        <v>11.5</v>
      </c>
      <c r="L17" s="32">
        <v>-348</v>
      </c>
      <c r="M17" s="32">
        <v>0.01</v>
      </c>
      <c r="N17" s="29">
        <v>77</v>
      </c>
      <c r="O17" s="29">
        <v>14.2</v>
      </c>
      <c r="P17" s="29">
        <v>8.8000000000000007</v>
      </c>
      <c r="Q17" s="29">
        <v>0.01</v>
      </c>
      <c r="R17" s="29">
        <v>0.01</v>
      </c>
      <c r="S17" s="8" t="s">
        <v>77</v>
      </c>
      <c r="T17" s="8" t="s">
        <v>99</v>
      </c>
      <c r="U17" s="41">
        <v>4.05</v>
      </c>
      <c r="V17" s="23" t="s">
        <v>172</v>
      </c>
      <c r="W17" s="23" t="s">
        <v>172</v>
      </c>
      <c r="X17" s="22">
        <v>4</v>
      </c>
      <c r="Y17" s="13">
        <v>9.4299999999999995E-6</v>
      </c>
      <c r="Z17" s="13">
        <v>3.7999999999999996E-6</v>
      </c>
      <c r="AA17" s="13">
        <v>1.1409999999999999E-5</v>
      </c>
      <c r="AB17" s="13">
        <v>2.3999999999999998E-7</v>
      </c>
      <c r="AC17" s="48" t="s">
        <v>172</v>
      </c>
      <c r="AD17" s="49">
        <f t="shared" si="0"/>
        <v>2.4815789473684213</v>
      </c>
      <c r="AE17" s="22">
        <v>0.21</v>
      </c>
      <c r="AF17" s="13">
        <f t="shared" si="1"/>
        <v>2.9399999999999996E-7</v>
      </c>
      <c r="AG17" s="13">
        <f t="shared" si="2"/>
        <v>2.7724199999999996E-12</v>
      </c>
      <c r="AH17" s="37" t="s">
        <v>172</v>
      </c>
      <c r="AI17" s="9">
        <f t="shared" si="3"/>
        <v>0.33304119193689746</v>
      </c>
      <c r="AJ17" s="9">
        <f t="shared" si="3"/>
        <v>47.541666666666664</v>
      </c>
      <c r="AK17" s="9">
        <f t="shared" si="4"/>
        <v>2.1034180543382998E-2</v>
      </c>
      <c r="AL17" s="37"/>
      <c r="AM17" s="46" t="s">
        <v>140</v>
      </c>
    </row>
    <row r="18" spans="1:39" s="46" customFormat="1" x14ac:dyDescent="0.3">
      <c r="A18" s="5" t="s">
        <v>44</v>
      </c>
      <c r="B18" s="6" t="s">
        <v>52</v>
      </c>
      <c r="C18" s="6" t="s">
        <v>159</v>
      </c>
      <c r="D18" s="5" t="s">
        <v>61</v>
      </c>
      <c r="E18" s="5" t="s">
        <v>181</v>
      </c>
      <c r="F18" s="46" t="s">
        <v>172</v>
      </c>
      <c r="G18" s="46" t="s">
        <v>172</v>
      </c>
      <c r="H18" s="35">
        <v>23.627500000000001</v>
      </c>
      <c r="I18" s="35">
        <v>57.115200000000002</v>
      </c>
      <c r="J18" s="31" t="s">
        <v>172</v>
      </c>
      <c r="K18" s="31" t="s">
        <v>172</v>
      </c>
      <c r="L18" s="32" t="s">
        <v>172</v>
      </c>
      <c r="M18" s="32">
        <v>0.01</v>
      </c>
      <c r="N18" s="29">
        <v>75</v>
      </c>
      <c r="O18" s="29">
        <v>15.4</v>
      </c>
      <c r="P18" s="29">
        <v>9.6</v>
      </c>
      <c r="Q18" s="29">
        <v>0.01</v>
      </c>
      <c r="R18" s="29">
        <v>0.01</v>
      </c>
      <c r="S18" s="8" t="s">
        <v>78</v>
      </c>
      <c r="T18" s="8" t="s">
        <v>100</v>
      </c>
      <c r="U18" s="41">
        <v>4.05</v>
      </c>
      <c r="V18" s="23" t="s">
        <v>172</v>
      </c>
      <c r="W18" s="23" t="s">
        <v>172</v>
      </c>
      <c r="X18" s="22">
        <v>3.9</v>
      </c>
      <c r="Y18" s="13">
        <v>9.5999999999999991E-7</v>
      </c>
      <c r="Z18" s="13">
        <v>1.5519999999999999E-6</v>
      </c>
      <c r="AA18" s="13">
        <v>9.2799999999999992E-6</v>
      </c>
      <c r="AB18" s="13">
        <v>2.2999999999999999E-7</v>
      </c>
      <c r="AC18" s="48" t="s">
        <v>172</v>
      </c>
      <c r="AD18" s="49">
        <f>Y18/Z18</f>
        <v>0.61855670103092786</v>
      </c>
      <c r="AE18" s="22">
        <v>0.84</v>
      </c>
      <c r="AF18" s="13">
        <f t="shared" si="1"/>
        <v>1.1759999999999998E-6</v>
      </c>
      <c r="AG18" s="13">
        <f t="shared" si="2"/>
        <v>1.1289599999999997E-12</v>
      </c>
      <c r="AH18" s="37" t="s">
        <v>172</v>
      </c>
      <c r="AI18" s="9">
        <f t="shared" si="3"/>
        <v>0.16724137931034483</v>
      </c>
      <c r="AJ18" s="9">
        <f t="shared" si="3"/>
        <v>40.347826086956516</v>
      </c>
      <c r="AK18" s="9">
        <f t="shared" si="4"/>
        <v>2.4784482758620691E-2</v>
      </c>
      <c r="AL18" s="37"/>
      <c r="AM18" s="46" t="s">
        <v>140</v>
      </c>
    </row>
    <row r="19" spans="1:39" s="46" customFormat="1" x14ac:dyDescent="0.3">
      <c r="A19" s="5" t="s">
        <v>44</v>
      </c>
      <c r="B19" s="6" t="s">
        <v>53</v>
      </c>
      <c r="C19" s="6" t="s">
        <v>160</v>
      </c>
      <c r="D19" s="5" t="s">
        <v>61</v>
      </c>
      <c r="E19" s="5" t="s">
        <v>181</v>
      </c>
      <c r="F19" s="46" t="s">
        <v>172</v>
      </c>
      <c r="G19" s="46" t="s">
        <v>172</v>
      </c>
      <c r="H19" s="35">
        <v>23.627500000000001</v>
      </c>
      <c r="I19" s="35">
        <v>57.115200000000002</v>
      </c>
      <c r="J19" s="31" t="s">
        <v>172</v>
      </c>
      <c r="K19" s="31" t="s">
        <v>172</v>
      </c>
      <c r="L19" s="32" t="s">
        <v>172</v>
      </c>
      <c r="M19" s="32" t="s">
        <v>172</v>
      </c>
      <c r="N19" s="29" t="s">
        <v>172</v>
      </c>
      <c r="O19" s="29" t="s">
        <v>172</v>
      </c>
      <c r="P19" s="29" t="s">
        <v>172</v>
      </c>
      <c r="Q19" s="29" t="s">
        <v>172</v>
      </c>
      <c r="R19" s="29" t="s">
        <v>172</v>
      </c>
      <c r="S19" s="29" t="s">
        <v>172</v>
      </c>
      <c r="T19" s="29" t="s">
        <v>172</v>
      </c>
      <c r="U19" s="41">
        <v>4.05</v>
      </c>
      <c r="V19" s="23" t="s">
        <v>172</v>
      </c>
      <c r="W19" s="23" t="s">
        <v>172</v>
      </c>
      <c r="X19" s="23" t="s">
        <v>172</v>
      </c>
      <c r="Y19" s="13">
        <v>1.31E-6</v>
      </c>
      <c r="Z19" s="13">
        <v>2.819E-6</v>
      </c>
      <c r="AA19" s="13">
        <v>8.3299999999999999E-6</v>
      </c>
      <c r="AB19" s="13">
        <v>2.1999999999999998E-7</v>
      </c>
      <c r="AC19" s="48" t="s">
        <v>172</v>
      </c>
      <c r="AD19" s="49">
        <f t="shared" si="0"/>
        <v>0.4647037956722242</v>
      </c>
      <c r="AE19" s="22">
        <v>0.77</v>
      </c>
      <c r="AF19" s="13">
        <f t="shared" si="1"/>
        <v>1.0779999999999999E-6</v>
      </c>
      <c r="AG19" s="13">
        <f t="shared" si="2"/>
        <v>1.4121799999999997E-12</v>
      </c>
      <c r="AH19" s="37" t="s">
        <v>172</v>
      </c>
      <c r="AI19" s="9">
        <f t="shared" si="3"/>
        <v>0.33841536614645862</v>
      </c>
      <c r="AJ19" s="9">
        <f t="shared" si="3"/>
        <v>37.863636363636367</v>
      </c>
      <c r="AK19" s="9">
        <f t="shared" si="4"/>
        <v>2.6410564225690273E-2</v>
      </c>
      <c r="AL19" s="37"/>
      <c r="AM19" s="46" t="s">
        <v>140</v>
      </c>
    </row>
    <row r="20" spans="1:39" s="46" customFormat="1" x14ac:dyDescent="0.3">
      <c r="A20" s="5" t="s">
        <v>44</v>
      </c>
      <c r="B20" s="6" t="s">
        <v>54</v>
      </c>
      <c r="C20" s="6" t="s">
        <v>161</v>
      </c>
      <c r="D20" s="5" t="s">
        <v>61</v>
      </c>
      <c r="E20" s="5" t="s">
        <v>181</v>
      </c>
      <c r="F20" s="46" t="s">
        <v>172</v>
      </c>
      <c r="G20" s="46" t="s">
        <v>172</v>
      </c>
      <c r="H20" s="35">
        <v>23.617999999999999</v>
      </c>
      <c r="I20" s="35">
        <v>57.106400000000001</v>
      </c>
      <c r="J20" s="31" t="s">
        <v>172</v>
      </c>
      <c r="K20" s="31" t="s">
        <v>172</v>
      </c>
      <c r="L20" s="32" t="s">
        <v>172</v>
      </c>
      <c r="M20" s="32">
        <v>0.01</v>
      </c>
      <c r="N20" s="29">
        <v>77.8</v>
      </c>
      <c r="O20" s="29">
        <v>18.100000000000001</v>
      </c>
      <c r="P20" s="29">
        <v>4</v>
      </c>
      <c r="Q20" s="29">
        <v>0.05</v>
      </c>
      <c r="R20" s="29">
        <v>0.05</v>
      </c>
      <c r="S20" s="8" t="s">
        <v>79</v>
      </c>
      <c r="T20" s="8" t="s">
        <v>101</v>
      </c>
      <c r="U20" s="41">
        <v>4.05</v>
      </c>
      <c r="V20" s="23" t="s">
        <v>172</v>
      </c>
      <c r="W20" s="23" t="s">
        <v>172</v>
      </c>
      <c r="X20" s="23" t="s">
        <v>172</v>
      </c>
      <c r="Y20" s="13">
        <v>9.9000000000000005E-7</v>
      </c>
      <c r="Z20" s="13">
        <v>3.0680000000000001E-6</v>
      </c>
      <c r="AA20" s="13">
        <v>1.0909999999999999E-5</v>
      </c>
      <c r="AB20" s="13">
        <v>2.8999999999999998E-7</v>
      </c>
      <c r="AC20" s="48" t="s">
        <v>172</v>
      </c>
      <c r="AD20" s="49">
        <f t="shared" si="0"/>
        <v>0.32268578878748372</v>
      </c>
      <c r="AE20" s="22">
        <v>1.05</v>
      </c>
      <c r="AF20" s="13">
        <f t="shared" si="1"/>
        <v>1.4699999999999999E-6</v>
      </c>
      <c r="AG20" s="13">
        <f t="shared" si="2"/>
        <v>1.4553000000000001E-12</v>
      </c>
      <c r="AH20" s="38">
        <f t="shared" ref="AH20:AH32" si="5">Q20/AG20</f>
        <v>34357177214.320072</v>
      </c>
      <c r="AI20" s="9">
        <f t="shared" si="3"/>
        <v>0.28120989917506878</v>
      </c>
      <c r="AJ20" s="9">
        <f t="shared" si="3"/>
        <v>37.620689655172413</v>
      </c>
      <c r="AK20" s="9">
        <f t="shared" si="4"/>
        <v>2.6581118240146653E-2</v>
      </c>
      <c r="AL20" s="38"/>
      <c r="AM20" s="46" t="s">
        <v>140</v>
      </c>
    </row>
    <row r="21" spans="1:39" s="46" customFormat="1" x14ac:dyDescent="0.3">
      <c r="A21" s="5" t="s">
        <v>44</v>
      </c>
      <c r="B21" s="6" t="s">
        <v>55</v>
      </c>
      <c r="C21" s="6" t="s">
        <v>162</v>
      </c>
      <c r="D21" s="5" t="s">
        <v>61</v>
      </c>
      <c r="E21" s="5" t="s">
        <v>181</v>
      </c>
      <c r="F21" s="46" t="s">
        <v>172</v>
      </c>
      <c r="G21" s="46" t="s">
        <v>172</v>
      </c>
      <c r="H21" s="35">
        <v>23.618099999999998</v>
      </c>
      <c r="I21" s="35">
        <v>57.107799999999997</v>
      </c>
      <c r="J21" s="31" t="s">
        <v>172</v>
      </c>
      <c r="K21" s="31" t="s">
        <v>172</v>
      </c>
      <c r="L21" s="32" t="s">
        <v>172</v>
      </c>
      <c r="M21" s="32">
        <v>0.01</v>
      </c>
      <c r="N21" s="29">
        <v>79.400000000000006</v>
      </c>
      <c r="O21" s="29">
        <v>16</v>
      </c>
      <c r="P21" s="29">
        <v>4.5999999999999996</v>
      </c>
      <c r="Q21" s="29">
        <v>0.01</v>
      </c>
      <c r="R21" s="29">
        <v>0.01</v>
      </c>
      <c r="S21" s="8" t="s">
        <v>79</v>
      </c>
      <c r="T21" s="8" t="s">
        <v>102</v>
      </c>
      <c r="U21" s="41">
        <v>4.05</v>
      </c>
      <c r="V21" s="23" t="s">
        <v>172</v>
      </c>
      <c r="W21" s="23" t="s">
        <v>172</v>
      </c>
      <c r="X21" s="23" t="s">
        <v>172</v>
      </c>
      <c r="Y21" s="13">
        <v>6.4000000000000001E-7</v>
      </c>
      <c r="Z21" s="13">
        <v>2.0789999999999999E-6</v>
      </c>
      <c r="AA21" s="13">
        <v>8.4499999999999987E-6</v>
      </c>
      <c r="AB21" s="13">
        <v>2.1999999999999998E-7</v>
      </c>
      <c r="AC21" s="48" t="s">
        <v>172</v>
      </c>
      <c r="AD21" s="49">
        <f t="shared" si="0"/>
        <v>0.30784030784030786</v>
      </c>
      <c r="AE21" s="22">
        <v>0.95</v>
      </c>
      <c r="AF21" s="13">
        <f t="shared" si="1"/>
        <v>1.33E-6</v>
      </c>
      <c r="AG21" s="13">
        <f t="shared" si="2"/>
        <v>8.5120000000000005E-13</v>
      </c>
      <c r="AH21" s="37" t="s">
        <v>172</v>
      </c>
      <c r="AI21" s="9">
        <f t="shared" si="3"/>
        <v>0.2460355029585799</v>
      </c>
      <c r="AJ21" s="9">
        <f t="shared" si="3"/>
        <v>38.409090909090907</v>
      </c>
      <c r="AK21" s="9">
        <f t="shared" si="4"/>
        <v>2.6035502958579884E-2</v>
      </c>
      <c r="AL21" s="37"/>
      <c r="AM21" s="46" t="s">
        <v>140</v>
      </c>
    </row>
    <row r="22" spans="1:39" s="46" customFormat="1" x14ac:dyDescent="0.3">
      <c r="A22" s="5" t="s">
        <v>44</v>
      </c>
      <c r="B22" s="6" t="s">
        <v>56</v>
      </c>
      <c r="C22" s="6" t="s">
        <v>56</v>
      </c>
      <c r="D22" s="5" t="s">
        <v>61</v>
      </c>
      <c r="E22" s="5" t="s">
        <v>181</v>
      </c>
      <c r="F22" s="46" t="s">
        <v>172</v>
      </c>
      <c r="G22" s="46" t="s">
        <v>172</v>
      </c>
      <c r="H22" s="35">
        <v>24.328199999999999</v>
      </c>
      <c r="I22" s="35">
        <v>56.130699999999997</v>
      </c>
      <c r="J22" s="31">
        <v>24.7</v>
      </c>
      <c r="K22" s="31">
        <v>10.199999999999999</v>
      </c>
      <c r="L22" s="32">
        <v>-191</v>
      </c>
      <c r="M22" s="32">
        <v>0.01</v>
      </c>
      <c r="N22" s="29">
        <v>75.2</v>
      </c>
      <c r="O22" s="29">
        <v>14.9</v>
      </c>
      <c r="P22" s="29">
        <v>10</v>
      </c>
      <c r="Q22" s="29">
        <v>0.01</v>
      </c>
      <c r="R22" s="29">
        <v>0.01</v>
      </c>
      <c r="S22" s="8" t="s">
        <v>80</v>
      </c>
      <c r="T22" s="8" t="s">
        <v>103</v>
      </c>
      <c r="U22" s="41">
        <v>4.05</v>
      </c>
      <c r="V22" s="23" t="s">
        <v>172</v>
      </c>
      <c r="W22" s="23" t="s">
        <v>172</v>
      </c>
      <c r="X22" s="30" t="s">
        <v>67</v>
      </c>
      <c r="Y22" s="13">
        <v>1.5269999999999998E-5</v>
      </c>
      <c r="Z22" s="13">
        <v>1.26E-6</v>
      </c>
      <c r="AA22" s="13">
        <v>4.9099999999999996E-6</v>
      </c>
      <c r="AB22" s="13">
        <v>1.8E-7</v>
      </c>
      <c r="AC22" s="48" t="s">
        <v>172</v>
      </c>
      <c r="AD22" s="49">
        <f t="shared" si="0"/>
        <v>12.119047619047617</v>
      </c>
      <c r="AE22" s="22">
        <v>0.43</v>
      </c>
      <c r="AF22" s="13">
        <f t="shared" si="1"/>
        <v>6.0199999999999991E-7</v>
      </c>
      <c r="AG22" s="13">
        <f t="shared" si="2"/>
        <v>9.1925399999999971E-12</v>
      </c>
      <c r="AH22" s="37" t="s">
        <v>172</v>
      </c>
      <c r="AI22" s="9">
        <f t="shared" si="3"/>
        <v>0.25661914460285135</v>
      </c>
      <c r="AJ22" s="9">
        <f t="shared" si="3"/>
        <v>27.277777777777775</v>
      </c>
      <c r="AK22" s="9">
        <f t="shared" si="4"/>
        <v>3.6659877800407331E-2</v>
      </c>
      <c r="AL22" s="37"/>
      <c r="AM22" s="46" t="s">
        <v>140</v>
      </c>
    </row>
    <row r="23" spans="1:39" s="46" customFormat="1" x14ac:dyDescent="0.3">
      <c r="A23" s="5" t="s">
        <v>44</v>
      </c>
      <c r="B23" s="6" t="s">
        <v>57</v>
      </c>
      <c r="C23" s="6" t="s">
        <v>57</v>
      </c>
      <c r="D23" s="5" t="s">
        <v>61</v>
      </c>
      <c r="E23" s="5" t="s">
        <v>181</v>
      </c>
      <c r="F23" s="46" t="s">
        <v>172</v>
      </c>
      <c r="G23" s="46" t="s">
        <v>172</v>
      </c>
      <c r="H23" s="35">
        <v>23.717199999999998</v>
      </c>
      <c r="I23" s="35">
        <v>57.033999999999999</v>
      </c>
      <c r="J23" s="31">
        <v>27.7</v>
      </c>
      <c r="K23" s="31">
        <v>8.6999999999999993</v>
      </c>
      <c r="L23" s="32">
        <v>-175</v>
      </c>
      <c r="M23" s="32">
        <v>0.01</v>
      </c>
      <c r="N23" s="29">
        <v>73.400000000000006</v>
      </c>
      <c r="O23" s="29">
        <v>20.8</v>
      </c>
      <c r="P23" s="29">
        <v>5.8</v>
      </c>
      <c r="Q23" s="29">
        <v>0.01</v>
      </c>
      <c r="R23" s="29">
        <v>0.01</v>
      </c>
      <c r="S23" s="8" t="s">
        <v>81</v>
      </c>
      <c r="T23" s="8" t="s">
        <v>104</v>
      </c>
      <c r="U23" s="41">
        <v>4.05</v>
      </c>
      <c r="V23" s="23" t="s">
        <v>172</v>
      </c>
      <c r="W23" s="23" t="s">
        <v>172</v>
      </c>
      <c r="X23" s="30" t="s">
        <v>68</v>
      </c>
      <c r="Y23" s="13">
        <v>1.5E-6</v>
      </c>
      <c r="Z23" s="13">
        <v>5.1639999999999992E-6</v>
      </c>
      <c r="AA23" s="13">
        <v>6.0499999999999997E-6</v>
      </c>
      <c r="AB23" s="13">
        <v>1.1999999999999999E-7</v>
      </c>
      <c r="AC23" s="48" t="s">
        <v>172</v>
      </c>
      <c r="AD23" s="49">
        <f t="shared" si="0"/>
        <v>0.29047250193648338</v>
      </c>
      <c r="AE23" s="22">
        <v>0.62</v>
      </c>
      <c r="AF23" s="13">
        <f t="shared" si="1"/>
        <v>8.6799999999999999E-7</v>
      </c>
      <c r="AG23" s="13">
        <f t="shared" si="2"/>
        <v>1.3020000000000001E-12</v>
      </c>
      <c r="AH23" s="37" t="s">
        <v>172</v>
      </c>
      <c r="AI23" s="9">
        <f t="shared" si="3"/>
        <v>0.85355371900826438</v>
      </c>
      <c r="AJ23" s="9">
        <f t="shared" si="3"/>
        <v>50.416666666666671</v>
      </c>
      <c r="AK23" s="9">
        <f t="shared" si="4"/>
        <v>1.9834710743801651E-2</v>
      </c>
      <c r="AL23" s="37"/>
      <c r="AM23" s="46" t="s">
        <v>140</v>
      </c>
    </row>
    <row r="24" spans="1:39" s="46" customFormat="1" x14ac:dyDescent="0.3">
      <c r="A24" s="5" t="s">
        <v>44</v>
      </c>
      <c r="B24" s="6" t="s">
        <v>58</v>
      </c>
      <c r="C24" s="6" t="s">
        <v>58</v>
      </c>
      <c r="D24" s="5" t="s">
        <v>61</v>
      </c>
      <c r="E24" s="5" t="s">
        <v>181</v>
      </c>
      <c r="F24" s="46" t="s">
        <v>172</v>
      </c>
      <c r="G24" s="46" t="s">
        <v>172</v>
      </c>
      <c r="H24" s="35">
        <v>23.9693</v>
      </c>
      <c r="I24" s="35">
        <v>56.421900000000001</v>
      </c>
      <c r="J24" s="31">
        <v>31.5</v>
      </c>
      <c r="K24" s="31">
        <v>11.7</v>
      </c>
      <c r="L24" s="32">
        <v>-340</v>
      </c>
      <c r="M24" s="32">
        <v>0.01</v>
      </c>
      <c r="N24" s="29">
        <v>68.099999999999994</v>
      </c>
      <c r="O24" s="29">
        <v>28.5</v>
      </c>
      <c r="P24" s="29">
        <v>3.3</v>
      </c>
      <c r="Q24" s="29">
        <v>0.01</v>
      </c>
      <c r="R24" s="29">
        <v>0.01</v>
      </c>
      <c r="S24" s="8" t="s">
        <v>82</v>
      </c>
      <c r="T24" s="8" t="s">
        <v>105</v>
      </c>
      <c r="U24" s="41">
        <v>4.05</v>
      </c>
      <c r="V24" s="23" t="s">
        <v>172</v>
      </c>
      <c r="W24" s="23" t="s">
        <v>172</v>
      </c>
      <c r="X24" s="30" t="s">
        <v>69</v>
      </c>
      <c r="Y24" s="13">
        <v>2.8499999999999998E-6</v>
      </c>
      <c r="Z24" s="13">
        <v>9.7499999999999998E-6</v>
      </c>
      <c r="AA24" s="13">
        <v>1.844E-5</v>
      </c>
      <c r="AB24" s="13">
        <v>4.0999999999999994E-7</v>
      </c>
      <c r="AC24" s="48" t="s">
        <v>172</v>
      </c>
      <c r="AD24" s="49">
        <f t="shared" si="0"/>
        <v>0.29230769230769227</v>
      </c>
      <c r="AE24" s="22">
        <v>0.7</v>
      </c>
      <c r="AF24" s="13">
        <f t="shared" si="1"/>
        <v>9.7999999999999993E-7</v>
      </c>
      <c r="AG24" s="13">
        <f t="shared" si="2"/>
        <v>2.7929999999999995E-12</v>
      </c>
      <c r="AH24" s="37" t="s">
        <v>172</v>
      </c>
      <c r="AI24" s="9">
        <f t="shared" si="3"/>
        <v>0.52874186550976143</v>
      </c>
      <c r="AJ24" s="9">
        <f t="shared" si="3"/>
        <v>44.975609756097569</v>
      </c>
      <c r="AK24" s="9">
        <f t="shared" si="4"/>
        <v>2.2234273318872014E-2</v>
      </c>
      <c r="AL24" s="37"/>
      <c r="AM24" s="46" t="s">
        <v>140</v>
      </c>
    </row>
    <row r="25" spans="1:39" s="46" customFormat="1" x14ac:dyDescent="0.3">
      <c r="A25" s="5" t="s">
        <v>44</v>
      </c>
      <c r="B25" s="6" t="s">
        <v>59</v>
      </c>
      <c r="C25" s="6" t="s">
        <v>59</v>
      </c>
      <c r="D25" s="5" t="s">
        <v>61</v>
      </c>
      <c r="E25" s="5" t="s">
        <v>181</v>
      </c>
      <c r="F25" s="46" t="s">
        <v>172</v>
      </c>
      <c r="G25" s="46" t="s">
        <v>172</v>
      </c>
      <c r="H25" s="35">
        <v>23.5352</v>
      </c>
      <c r="I25" s="35">
        <v>57.333300000000001</v>
      </c>
      <c r="J25" s="31">
        <v>31.2</v>
      </c>
      <c r="K25" s="31">
        <v>10.1</v>
      </c>
      <c r="L25" s="32">
        <v>-500</v>
      </c>
      <c r="M25" s="32">
        <v>0.01</v>
      </c>
      <c r="N25" s="29">
        <v>65.099999999999994</v>
      </c>
      <c r="O25" s="29">
        <v>32.4</v>
      </c>
      <c r="P25" s="29">
        <v>2.5</v>
      </c>
      <c r="Q25" s="29">
        <v>0.01</v>
      </c>
      <c r="R25" s="29">
        <v>0.01</v>
      </c>
      <c r="S25" s="8" t="s">
        <v>83</v>
      </c>
      <c r="T25" s="8" t="s">
        <v>106</v>
      </c>
      <c r="U25" s="41">
        <v>4.05</v>
      </c>
      <c r="V25" s="23" t="s">
        <v>172</v>
      </c>
      <c r="W25" s="23" t="s">
        <v>172</v>
      </c>
      <c r="X25" s="30" t="s">
        <v>70</v>
      </c>
      <c r="Y25" s="13">
        <v>4.6999999999999995E-7</v>
      </c>
      <c r="Z25" s="13">
        <v>1.172E-6</v>
      </c>
      <c r="AA25" s="13">
        <v>2.8999999999999998E-6</v>
      </c>
      <c r="AB25" s="13">
        <v>5.9999999999999995E-8</v>
      </c>
      <c r="AC25" s="48" t="s">
        <v>172</v>
      </c>
      <c r="AD25" s="49">
        <f t="shared" si="0"/>
        <v>0.40102389078498291</v>
      </c>
      <c r="AE25" s="22">
        <v>0.56999999999999995</v>
      </c>
      <c r="AF25" s="13">
        <f t="shared" si="1"/>
        <v>7.9799999999999992E-7</v>
      </c>
      <c r="AG25" s="13">
        <f t="shared" si="2"/>
        <v>3.7505999999999992E-13</v>
      </c>
      <c r="AH25" s="37" t="s">
        <v>172</v>
      </c>
      <c r="AI25" s="9">
        <f t="shared" si="3"/>
        <v>0.40413793103448276</v>
      </c>
      <c r="AJ25" s="9">
        <f t="shared" si="3"/>
        <v>48.333333333333336</v>
      </c>
      <c r="AK25" s="9">
        <f t="shared" si="4"/>
        <v>2.0689655172413793E-2</v>
      </c>
      <c r="AL25" s="37"/>
      <c r="AM25" s="46" t="s">
        <v>140</v>
      </c>
    </row>
    <row r="26" spans="1:39" x14ac:dyDescent="0.3">
      <c r="A26" s="5" t="s">
        <v>44</v>
      </c>
      <c r="B26" s="6" t="s">
        <v>60</v>
      </c>
      <c r="C26" s="6" t="s">
        <v>60</v>
      </c>
      <c r="D26" s="5" t="s">
        <v>61</v>
      </c>
      <c r="E26" s="5" t="s">
        <v>181</v>
      </c>
      <c r="F26" s="20" t="s">
        <v>172</v>
      </c>
      <c r="G26" s="20" t="s">
        <v>172</v>
      </c>
      <c r="H26" s="35">
        <v>22.895600000000002</v>
      </c>
      <c r="I26" s="35">
        <v>58.394599999999997</v>
      </c>
      <c r="J26" s="31">
        <v>29.5</v>
      </c>
      <c r="K26" s="31">
        <v>11.2</v>
      </c>
      <c r="L26" s="32">
        <v>-45</v>
      </c>
      <c r="M26" s="32">
        <v>0.01</v>
      </c>
      <c r="N26" s="29">
        <v>61</v>
      </c>
      <c r="O26" s="29">
        <v>23.2</v>
      </c>
      <c r="P26" s="29">
        <v>15.4</v>
      </c>
      <c r="Q26" s="29">
        <v>0.01</v>
      </c>
      <c r="R26" s="29">
        <v>0.01</v>
      </c>
      <c r="S26" s="8" t="s">
        <v>84</v>
      </c>
      <c r="T26" s="8" t="s">
        <v>107</v>
      </c>
      <c r="U26" s="41">
        <v>4.05</v>
      </c>
      <c r="V26" s="23" t="s">
        <v>172</v>
      </c>
      <c r="W26" s="23" t="s">
        <v>172</v>
      </c>
      <c r="X26" s="22">
        <v>7.9</v>
      </c>
      <c r="Y26" s="13">
        <v>2.3399999999999996E-6</v>
      </c>
      <c r="Z26" s="13">
        <v>1.0329999999999999E-6</v>
      </c>
      <c r="AA26" s="13">
        <v>9.5099999999999987E-6</v>
      </c>
      <c r="AB26" s="13">
        <v>2.4999999999999999E-7</v>
      </c>
      <c r="AC26" s="19" t="s">
        <v>172</v>
      </c>
      <c r="AD26" s="25">
        <f t="shared" si="0"/>
        <v>2.2652468538238142</v>
      </c>
      <c r="AE26" s="22">
        <v>0.89</v>
      </c>
      <c r="AF26" s="13">
        <f t="shared" si="1"/>
        <v>1.246E-6</v>
      </c>
      <c r="AG26" s="13">
        <f t="shared" si="2"/>
        <v>2.9156399999999995E-12</v>
      </c>
      <c r="AH26" s="37" t="s">
        <v>172</v>
      </c>
      <c r="AI26" s="9">
        <f t="shared" si="3"/>
        <v>0.10862250262881178</v>
      </c>
      <c r="AJ26" s="9">
        <f t="shared" si="3"/>
        <v>38.04</v>
      </c>
      <c r="AK26" s="9">
        <f t="shared" si="4"/>
        <v>2.6288117770767616E-2</v>
      </c>
      <c r="AL26" s="37"/>
      <c r="AM26" s="20" t="s">
        <v>140</v>
      </c>
    </row>
    <row r="27" spans="1:39" x14ac:dyDescent="0.3">
      <c r="A27" s="5" t="s">
        <v>44</v>
      </c>
      <c r="B27" s="6" t="s">
        <v>163</v>
      </c>
      <c r="C27" s="6" t="s">
        <v>163</v>
      </c>
      <c r="D27" s="5" t="s">
        <v>42</v>
      </c>
      <c r="E27" s="5" t="s">
        <v>181</v>
      </c>
      <c r="F27" s="20" t="s">
        <v>172</v>
      </c>
      <c r="G27" s="20" t="s">
        <v>172</v>
      </c>
      <c r="H27" s="35">
        <v>23.4285</v>
      </c>
      <c r="I27" s="35">
        <v>57.668300000000002</v>
      </c>
      <c r="J27" s="31">
        <v>32.9</v>
      </c>
      <c r="K27" s="31">
        <v>11.1</v>
      </c>
      <c r="L27" s="32">
        <v>-420</v>
      </c>
      <c r="M27" s="32">
        <v>0.01</v>
      </c>
      <c r="N27" s="29">
        <v>26.9</v>
      </c>
      <c r="O27" s="29">
        <v>57.3</v>
      </c>
      <c r="P27" s="29">
        <v>15.9</v>
      </c>
      <c r="Q27" s="29">
        <v>0.01</v>
      </c>
      <c r="R27" s="29">
        <v>0.01</v>
      </c>
      <c r="S27" s="8" t="s">
        <v>77</v>
      </c>
      <c r="T27" s="8" t="s">
        <v>108</v>
      </c>
      <c r="U27" s="41">
        <v>4.05</v>
      </c>
      <c r="V27" s="23" t="s">
        <v>172</v>
      </c>
      <c r="W27" s="23" t="s">
        <v>172</v>
      </c>
      <c r="X27" s="30" t="s">
        <v>71</v>
      </c>
      <c r="Y27" s="13">
        <v>7.4299999999999992E-6</v>
      </c>
      <c r="Z27" s="13">
        <v>5.4300000000000003E-7</v>
      </c>
      <c r="AA27" s="13">
        <v>5.4099999999999999E-6</v>
      </c>
      <c r="AB27" s="13">
        <v>1.3E-7</v>
      </c>
      <c r="AC27" s="19" t="s">
        <v>172</v>
      </c>
      <c r="AD27" s="25">
        <f t="shared" si="0"/>
        <v>13.683241252302023</v>
      </c>
      <c r="AE27" s="22">
        <v>0.76</v>
      </c>
      <c r="AF27" s="13">
        <f t="shared" si="1"/>
        <v>1.0639999999999999E-6</v>
      </c>
      <c r="AG27" s="13">
        <f t="shared" si="2"/>
        <v>7.9055199999999988E-12</v>
      </c>
      <c r="AH27" s="37" t="s">
        <v>172</v>
      </c>
      <c r="AI27" s="9">
        <f t="shared" si="3"/>
        <v>0.10036968576709797</v>
      </c>
      <c r="AJ27" s="9">
        <f t="shared" si="3"/>
        <v>41.615384615384613</v>
      </c>
      <c r="AK27" s="9">
        <f t="shared" si="4"/>
        <v>2.4029574861367836E-2</v>
      </c>
      <c r="AL27" s="37"/>
      <c r="AM27" s="20" t="s">
        <v>140</v>
      </c>
    </row>
    <row r="28" spans="1:39" x14ac:dyDescent="0.3">
      <c r="A28" s="5" t="s">
        <v>44</v>
      </c>
      <c r="B28" s="6" t="s">
        <v>164</v>
      </c>
      <c r="C28" s="6" t="s">
        <v>164</v>
      </c>
      <c r="D28" s="5" t="s">
        <v>42</v>
      </c>
      <c r="E28" s="5" t="s">
        <v>181</v>
      </c>
      <c r="F28" s="20" t="s">
        <v>172</v>
      </c>
      <c r="G28" s="20" t="s">
        <v>172</v>
      </c>
      <c r="H28" s="35">
        <v>23.4239</v>
      </c>
      <c r="I28" s="35">
        <v>57.672199999999997</v>
      </c>
      <c r="J28" s="31">
        <v>23.8</v>
      </c>
      <c r="K28" s="31">
        <v>11.1</v>
      </c>
      <c r="L28" s="32">
        <v>-39</v>
      </c>
      <c r="M28" s="32">
        <v>0.01</v>
      </c>
      <c r="N28" s="29">
        <v>36.1</v>
      </c>
      <c r="O28" s="29">
        <v>58.2</v>
      </c>
      <c r="P28" s="29">
        <v>5.7</v>
      </c>
      <c r="Q28" s="29">
        <v>0.01</v>
      </c>
      <c r="R28" s="29">
        <v>0.01</v>
      </c>
      <c r="S28" s="8" t="s">
        <v>85</v>
      </c>
      <c r="T28" s="8" t="s">
        <v>109</v>
      </c>
      <c r="U28" s="41">
        <v>4.05</v>
      </c>
      <c r="V28" s="23" t="s">
        <v>172</v>
      </c>
      <c r="W28" s="23" t="s">
        <v>172</v>
      </c>
      <c r="X28" s="23" t="s">
        <v>172</v>
      </c>
      <c r="Y28" s="13">
        <v>6.0499999999999997E-6</v>
      </c>
      <c r="Z28" s="13">
        <v>9.778999999999999E-6</v>
      </c>
      <c r="AA28" s="13">
        <v>2.6480000000000001E-5</v>
      </c>
      <c r="AB28" s="13">
        <v>4.8999999999999997E-7</v>
      </c>
      <c r="AC28" s="19" t="s">
        <v>172</v>
      </c>
      <c r="AD28" s="25">
        <f t="shared" si="0"/>
        <v>0.6186726659167604</v>
      </c>
      <c r="AE28" s="22">
        <v>1.25</v>
      </c>
      <c r="AF28" s="13">
        <f t="shared" si="1"/>
        <v>1.75E-6</v>
      </c>
      <c r="AG28" s="13">
        <f t="shared" si="2"/>
        <v>1.0587499999999999E-11</v>
      </c>
      <c r="AH28" s="37" t="s">
        <v>172</v>
      </c>
      <c r="AI28" s="9">
        <f t="shared" si="3"/>
        <v>0.36929758308157096</v>
      </c>
      <c r="AJ28" s="9">
        <f t="shared" si="3"/>
        <v>54.040816326530617</v>
      </c>
      <c r="AK28" s="9">
        <f t="shared" si="4"/>
        <v>1.8504531722054379E-2</v>
      </c>
      <c r="AL28" s="37"/>
      <c r="AM28" s="20" t="s">
        <v>140</v>
      </c>
    </row>
    <row r="29" spans="1:39" x14ac:dyDescent="0.3">
      <c r="A29" s="5" t="s">
        <v>44</v>
      </c>
      <c r="B29" s="6" t="s">
        <v>165</v>
      </c>
      <c r="C29" s="6" t="s">
        <v>165</v>
      </c>
      <c r="D29" s="5" t="s">
        <v>42</v>
      </c>
      <c r="E29" s="5" t="s">
        <v>181</v>
      </c>
      <c r="F29" s="20" t="s">
        <v>172</v>
      </c>
      <c r="G29" s="20" t="s">
        <v>172</v>
      </c>
      <c r="H29" s="35">
        <v>23.424199999999999</v>
      </c>
      <c r="I29" s="35">
        <v>57.6721</v>
      </c>
      <c r="J29" s="31">
        <v>37.4</v>
      </c>
      <c r="K29" s="31">
        <v>11.2</v>
      </c>
      <c r="L29" s="32">
        <v>-82</v>
      </c>
      <c r="M29" s="32">
        <v>0.01</v>
      </c>
      <c r="N29" s="29">
        <v>31.4</v>
      </c>
      <c r="O29" s="29">
        <v>59.9</v>
      </c>
      <c r="P29" s="29">
        <v>8.6999999999999993</v>
      </c>
      <c r="Q29" s="29">
        <v>0.01</v>
      </c>
      <c r="R29" s="29">
        <v>0.01</v>
      </c>
      <c r="S29" s="8" t="s">
        <v>86</v>
      </c>
      <c r="T29" s="8" t="s">
        <v>110</v>
      </c>
      <c r="U29" s="41">
        <v>4.05</v>
      </c>
      <c r="V29" s="23" t="s">
        <v>172</v>
      </c>
      <c r="W29" s="23" t="s">
        <v>172</v>
      </c>
      <c r="X29" s="23" t="s">
        <v>172</v>
      </c>
      <c r="Y29" s="13">
        <v>3.4700000000000002E-6</v>
      </c>
      <c r="Z29" s="13">
        <v>8.6799999999999999E-6</v>
      </c>
      <c r="AA29" s="13">
        <v>2.8899999999999998E-5</v>
      </c>
      <c r="AB29" s="13">
        <v>6.0999999999999998E-7</v>
      </c>
      <c r="AC29" s="19" t="s">
        <v>172</v>
      </c>
      <c r="AD29" s="25">
        <f t="shared" si="0"/>
        <v>0.39976958525345624</v>
      </c>
      <c r="AE29" s="22">
        <v>0.93</v>
      </c>
      <c r="AF29" s="13">
        <f t="shared" si="1"/>
        <v>1.302E-6</v>
      </c>
      <c r="AG29" s="13">
        <f t="shared" si="2"/>
        <v>4.51794E-12</v>
      </c>
      <c r="AH29" s="37" t="s">
        <v>172</v>
      </c>
      <c r="AI29" s="9">
        <f t="shared" si="3"/>
        <v>0.30034602076124567</v>
      </c>
      <c r="AJ29" s="9">
        <f t="shared" si="3"/>
        <v>47.377049180327866</v>
      </c>
      <c r="AK29" s="9">
        <f t="shared" si="4"/>
        <v>2.110726643598616E-2</v>
      </c>
      <c r="AL29" s="37"/>
      <c r="AM29" s="20" t="s">
        <v>140</v>
      </c>
    </row>
    <row r="30" spans="1:39" s="46" customFormat="1" x14ac:dyDescent="0.3">
      <c r="A30" s="5" t="s">
        <v>44</v>
      </c>
      <c r="B30" s="6" t="s">
        <v>88</v>
      </c>
      <c r="C30" s="16" t="s">
        <v>88</v>
      </c>
      <c r="D30" s="5" t="s">
        <v>43</v>
      </c>
      <c r="E30" s="5" t="s">
        <v>182</v>
      </c>
      <c r="F30" s="46" t="s">
        <v>172</v>
      </c>
      <c r="G30" s="46" t="s">
        <v>172</v>
      </c>
      <c r="H30" s="36">
        <v>23.470099999999999</v>
      </c>
      <c r="I30" s="36">
        <v>58.323900000000002</v>
      </c>
      <c r="J30" s="22">
        <v>66.3</v>
      </c>
      <c r="K30" s="22">
        <v>6.9</v>
      </c>
      <c r="L30" s="33">
        <v>89</v>
      </c>
      <c r="M30" s="47">
        <v>0.01</v>
      </c>
      <c r="N30" s="7">
        <v>0.01</v>
      </c>
      <c r="O30" s="9">
        <v>97.9</v>
      </c>
      <c r="P30" s="9">
        <v>0.2</v>
      </c>
      <c r="Q30" s="9">
        <v>1.8</v>
      </c>
      <c r="R30" s="9">
        <v>0.1</v>
      </c>
      <c r="S30" s="7" t="s">
        <v>172</v>
      </c>
      <c r="T30" s="8" t="s">
        <v>111</v>
      </c>
      <c r="U30" s="42"/>
      <c r="V30" s="23" t="s">
        <v>172</v>
      </c>
      <c r="W30" s="23" t="s">
        <v>172</v>
      </c>
      <c r="X30" s="23" t="s">
        <v>172</v>
      </c>
      <c r="Y30" s="13">
        <v>1.4099999999999999E-5</v>
      </c>
      <c r="Z30" s="13">
        <v>1.2559E-5</v>
      </c>
      <c r="AA30" s="13">
        <v>1.6030000000000001E-5</v>
      </c>
      <c r="AB30" s="13">
        <v>2.9999999999999999E-7</v>
      </c>
      <c r="AC30" s="48" t="s">
        <v>172</v>
      </c>
      <c r="AD30" s="49">
        <f t="shared" si="0"/>
        <v>1.1227008519786608</v>
      </c>
      <c r="AE30" s="22">
        <v>0.42</v>
      </c>
      <c r="AF30" s="13">
        <f t="shared" si="1"/>
        <v>5.8799999999999992E-7</v>
      </c>
      <c r="AG30" s="13">
        <f t="shared" si="2"/>
        <v>8.2907999999999978E-12</v>
      </c>
      <c r="AH30" s="38">
        <f>Q30/AG30</f>
        <v>217108119843.68222</v>
      </c>
      <c r="AI30" s="9">
        <f t="shared" si="3"/>
        <v>0.78346849656893314</v>
      </c>
      <c r="AJ30" s="9">
        <f t="shared" si="3"/>
        <v>53.433333333333337</v>
      </c>
      <c r="AK30" s="9">
        <f t="shared" si="4"/>
        <v>1.8714909544603867E-2</v>
      </c>
      <c r="AL30" s="38"/>
      <c r="AM30" s="46" t="s">
        <v>140</v>
      </c>
    </row>
    <row r="31" spans="1:39" s="46" customFormat="1" x14ac:dyDescent="0.3">
      <c r="A31" s="5" t="s">
        <v>44</v>
      </c>
      <c r="B31" s="6" t="s">
        <v>89</v>
      </c>
      <c r="C31" s="16" t="s">
        <v>89</v>
      </c>
      <c r="D31" s="5" t="s">
        <v>43</v>
      </c>
      <c r="E31" s="5" t="s">
        <v>182</v>
      </c>
      <c r="F31" s="46" t="s">
        <v>172</v>
      </c>
      <c r="G31" s="46" t="s">
        <v>172</v>
      </c>
      <c r="H31" s="36">
        <v>23.3935</v>
      </c>
      <c r="I31" s="36">
        <v>57.411299999999997</v>
      </c>
      <c r="J31" s="22">
        <v>45.3</v>
      </c>
      <c r="K31" s="22">
        <v>7.2</v>
      </c>
      <c r="L31" s="33">
        <v>125</v>
      </c>
      <c r="M31" s="22">
        <v>0.2</v>
      </c>
      <c r="N31" s="7">
        <v>0.01</v>
      </c>
      <c r="O31" s="9">
        <v>99.2</v>
      </c>
      <c r="P31" s="7">
        <v>0.01</v>
      </c>
      <c r="Q31" s="9">
        <v>0.7</v>
      </c>
      <c r="R31" s="7">
        <v>0.01</v>
      </c>
      <c r="S31" s="7" t="s">
        <v>172</v>
      </c>
      <c r="T31" s="7" t="s">
        <v>172</v>
      </c>
      <c r="U31" s="41"/>
      <c r="V31" s="30" t="s">
        <v>71</v>
      </c>
      <c r="W31" s="30" t="s">
        <v>91</v>
      </c>
      <c r="X31" s="23" t="s">
        <v>172</v>
      </c>
      <c r="Y31" s="13">
        <v>3.5289999999999996E-4</v>
      </c>
      <c r="Z31" s="13">
        <v>2.5889999999999997E-6</v>
      </c>
      <c r="AA31" s="13">
        <v>5.6000000000000004E-7</v>
      </c>
      <c r="AB31" s="13">
        <v>1E-8</v>
      </c>
      <c r="AC31" s="48" t="s">
        <v>172</v>
      </c>
      <c r="AD31" s="49">
        <f t="shared" si="0"/>
        <v>136.30745461568173</v>
      </c>
      <c r="AE31" s="22">
        <v>0.08</v>
      </c>
      <c r="AF31" s="13">
        <f t="shared" si="1"/>
        <v>1.12E-7</v>
      </c>
      <c r="AG31" s="13">
        <f t="shared" si="2"/>
        <v>3.9524799999999995E-11</v>
      </c>
      <c r="AH31" s="38">
        <f t="shared" si="5"/>
        <v>17710399546.613773</v>
      </c>
      <c r="AI31" s="9">
        <f t="shared" si="3"/>
        <v>4.6232142857142851</v>
      </c>
      <c r="AJ31" s="9">
        <f t="shared" si="3"/>
        <v>56</v>
      </c>
      <c r="AK31" s="9">
        <f t="shared" si="4"/>
        <v>1.7857142857142856E-2</v>
      </c>
      <c r="AL31" s="38"/>
      <c r="AM31" s="46" t="s">
        <v>140</v>
      </c>
    </row>
    <row r="32" spans="1:39" s="46" customFormat="1" x14ac:dyDescent="0.3">
      <c r="A32" s="5" t="s">
        <v>44</v>
      </c>
      <c r="B32" s="6" t="s">
        <v>90</v>
      </c>
      <c r="C32" s="16" t="s">
        <v>90</v>
      </c>
      <c r="D32" s="5" t="s">
        <v>43</v>
      </c>
      <c r="E32" s="5" t="s">
        <v>182</v>
      </c>
      <c r="F32" s="46" t="s">
        <v>172</v>
      </c>
      <c r="G32" s="46" t="s">
        <v>172</v>
      </c>
      <c r="H32" s="36">
        <v>23.375399999999999</v>
      </c>
      <c r="I32" s="36">
        <v>57.828400000000002</v>
      </c>
      <c r="J32" s="22">
        <v>37.9</v>
      </c>
      <c r="K32" s="22">
        <v>7.5</v>
      </c>
      <c r="L32" s="33">
        <v>146</v>
      </c>
      <c r="M32" s="22">
        <v>0.1</v>
      </c>
      <c r="N32" s="7">
        <v>0.01</v>
      </c>
      <c r="O32" s="9">
        <v>98.9</v>
      </c>
      <c r="P32" s="7">
        <v>0.01</v>
      </c>
      <c r="Q32" s="9">
        <v>1</v>
      </c>
      <c r="R32" s="7">
        <v>0.01</v>
      </c>
      <c r="S32" s="7" t="s">
        <v>172</v>
      </c>
      <c r="T32" s="7" t="s">
        <v>172</v>
      </c>
      <c r="U32" s="41"/>
      <c r="V32" s="23" t="s">
        <v>172</v>
      </c>
      <c r="W32" s="30" t="s">
        <v>92</v>
      </c>
      <c r="X32" s="23" t="s">
        <v>172</v>
      </c>
      <c r="Y32" s="13">
        <v>1.3820699999999998E-3</v>
      </c>
      <c r="Z32" s="13">
        <v>1.7599999999999999E-6</v>
      </c>
      <c r="AA32" s="13">
        <v>1.2119999999999999E-5</v>
      </c>
      <c r="AB32" s="13">
        <v>2.4999999999999999E-7</v>
      </c>
      <c r="AC32" s="48" t="s">
        <v>172</v>
      </c>
      <c r="AD32" s="49">
        <f t="shared" si="0"/>
        <v>785.26704545454538</v>
      </c>
      <c r="AE32" s="22">
        <v>7.0000000000000007E-2</v>
      </c>
      <c r="AF32" s="13">
        <f t="shared" si="1"/>
        <v>9.8000000000000004E-8</v>
      </c>
      <c r="AG32" s="13">
        <f t="shared" si="2"/>
        <v>1.3544286E-10</v>
      </c>
      <c r="AH32" s="38">
        <f t="shared" si="5"/>
        <v>7383187271.7395363</v>
      </c>
      <c r="AI32" s="9">
        <f t="shared" si="3"/>
        <v>0.14521452145214522</v>
      </c>
      <c r="AJ32" s="9">
        <f t="shared" si="3"/>
        <v>48.48</v>
      </c>
      <c r="AK32" s="9">
        <f t="shared" si="4"/>
        <v>2.0627062706270627E-2</v>
      </c>
      <c r="AL32" s="38"/>
      <c r="AM32" s="46" t="s">
        <v>140</v>
      </c>
    </row>
    <row r="33" spans="1:39" s="46" customFormat="1" x14ac:dyDescent="0.3">
      <c r="A33" s="5" t="s">
        <v>112</v>
      </c>
      <c r="B33" s="6" t="s">
        <v>113</v>
      </c>
      <c r="C33" s="16" t="s">
        <v>113</v>
      </c>
      <c r="D33" s="5" t="s">
        <v>42</v>
      </c>
      <c r="E33" s="5" t="s">
        <v>181</v>
      </c>
      <c r="F33" s="46" t="s">
        <v>172</v>
      </c>
      <c r="G33" s="46" t="s">
        <v>172</v>
      </c>
      <c r="H33" s="34">
        <v>15.7033</v>
      </c>
      <c r="I33" s="50">
        <v>120.2825</v>
      </c>
      <c r="J33" s="26">
        <v>34.299999999999997</v>
      </c>
      <c r="K33" s="26">
        <v>11.3</v>
      </c>
      <c r="L33" s="27">
        <v>-38</v>
      </c>
      <c r="M33" s="27">
        <v>0.01</v>
      </c>
      <c r="N33" s="28">
        <v>35.1</v>
      </c>
      <c r="O33" s="28">
        <v>48</v>
      </c>
      <c r="P33" s="28">
        <v>16.7</v>
      </c>
      <c r="Q33" s="28">
        <v>0.01</v>
      </c>
      <c r="R33" s="28">
        <v>0.01</v>
      </c>
      <c r="S33" s="8" t="s">
        <v>120</v>
      </c>
      <c r="T33" s="8" t="s">
        <v>121</v>
      </c>
      <c r="U33" s="42"/>
      <c r="V33" s="30" t="s">
        <v>122</v>
      </c>
      <c r="W33" s="23" t="s">
        <v>172</v>
      </c>
      <c r="X33" s="30" t="s">
        <v>117</v>
      </c>
      <c r="Y33" s="13">
        <v>2.6599999999999999E-6</v>
      </c>
      <c r="Z33" s="13">
        <v>8.2039999999999997E-6</v>
      </c>
      <c r="AA33" s="13">
        <v>1.8620000000000001E-5</v>
      </c>
      <c r="AB33" s="13">
        <v>3.9999999999999998E-7</v>
      </c>
      <c r="AC33" s="48" t="s">
        <v>172</v>
      </c>
      <c r="AD33" s="49">
        <f t="shared" si="0"/>
        <v>0.32423208191126279</v>
      </c>
      <c r="AE33" s="22">
        <v>0.71</v>
      </c>
      <c r="AF33" s="13">
        <f t="shared" si="1"/>
        <v>9.9399999999999993E-7</v>
      </c>
      <c r="AG33" s="13">
        <f t="shared" si="2"/>
        <v>2.6440399999999997E-12</v>
      </c>
      <c r="AH33" s="37" t="s">
        <v>172</v>
      </c>
      <c r="AI33" s="9">
        <f t="shared" si="3"/>
        <v>0.44060150375939844</v>
      </c>
      <c r="AJ33" s="9">
        <f t="shared" si="3"/>
        <v>46.550000000000004</v>
      </c>
      <c r="AK33" s="9">
        <f t="shared" si="4"/>
        <v>2.1482277121374863E-2</v>
      </c>
      <c r="AL33" s="37"/>
      <c r="AM33" s="46" t="s">
        <v>140</v>
      </c>
    </row>
    <row r="34" spans="1:39" s="46" customFormat="1" x14ac:dyDescent="0.3">
      <c r="A34" s="5" t="s">
        <v>112</v>
      </c>
      <c r="B34" s="11" t="s">
        <v>114</v>
      </c>
      <c r="C34" s="51" t="s">
        <v>166</v>
      </c>
      <c r="D34" s="5" t="s">
        <v>116</v>
      </c>
      <c r="E34" s="5" t="s">
        <v>180</v>
      </c>
      <c r="F34" s="46" t="s">
        <v>172</v>
      </c>
      <c r="G34" s="46" t="s">
        <v>172</v>
      </c>
      <c r="H34" s="36">
        <v>14.837</v>
      </c>
      <c r="I34" s="50" t="s">
        <v>171</v>
      </c>
      <c r="J34" s="23" t="s">
        <v>172</v>
      </c>
      <c r="K34" s="23" t="s">
        <v>172</v>
      </c>
      <c r="L34" s="7" t="s">
        <v>172</v>
      </c>
      <c r="M34" s="47">
        <v>0.01</v>
      </c>
      <c r="N34" s="29">
        <v>58.5</v>
      </c>
      <c r="O34" s="52">
        <v>1.2</v>
      </c>
      <c r="P34" s="9">
        <v>38.700000000000003</v>
      </c>
      <c r="Q34" s="7">
        <v>0.01</v>
      </c>
      <c r="R34" s="7">
        <v>0.01</v>
      </c>
      <c r="S34" s="12" t="s">
        <v>123</v>
      </c>
      <c r="T34" s="12" t="s">
        <v>124</v>
      </c>
      <c r="U34" s="43"/>
      <c r="V34" s="24" t="s">
        <v>125</v>
      </c>
      <c r="W34" s="23" t="s">
        <v>172</v>
      </c>
      <c r="X34" s="24" t="s">
        <v>118</v>
      </c>
      <c r="Y34" s="15">
        <v>4.6799999999999992E-6</v>
      </c>
      <c r="Z34" s="15">
        <v>4.6999999999999997E-8</v>
      </c>
      <c r="AA34" s="15">
        <v>4.0999999999999994E-7</v>
      </c>
      <c r="AB34" s="15">
        <v>1E-8</v>
      </c>
      <c r="AC34" s="48" t="s">
        <v>172</v>
      </c>
      <c r="AD34" s="49">
        <f t="shared" si="0"/>
        <v>99.574468085106375</v>
      </c>
      <c r="AE34" s="24" t="s">
        <v>128</v>
      </c>
      <c r="AF34" s="13">
        <f t="shared" si="1"/>
        <v>6.0899999999999993E-6</v>
      </c>
      <c r="AG34" s="13">
        <f t="shared" si="2"/>
        <v>2.8501199999999993E-11</v>
      </c>
      <c r="AH34" s="37" t="s">
        <v>172</v>
      </c>
      <c r="AI34" s="9">
        <f t="shared" si="3"/>
        <v>0.11463414634146342</v>
      </c>
      <c r="AJ34" s="9">
        <f t="shared" si="3"/>
        <v>40.999999999999993</v>
      </c>
      <c r="AK34" s="9">
        <f t="shared" si="4"/>
        <v>2.4390243902439029E-2</v>
      </c>
      <c r="AL34" s="37"/>
      <c r="AM34" s="46" t="s">
        <v>140</v>
      </c>
    </row>
    <row r="35" spans="1:39" s="46" customFormat="1" x14ac:dyDescent="0.3">
      <c r="A35" s="5" t="s">
        <v>112</v>
      </c>
      <c r="B35" s="51" t="s">
        <v>167</v>
      </c>
      <c r="C35" s="51" t="s">
        <v>167</v>
      </c>
      <c r="D35" s="5" t="s">
        <v>116</v>
      </c>
      <c r="E35" s="5" t="s">
        <v>180</v>
      </c>
      <c r="F35" s="46" t="s">
        <v>172</v>
      </c>
      <c r="G35" s="46" t="s">
        <v>172</v>
      </c>
      <c r="H35" s="36">
        <v>15.5718</v>
      </c>
      <c r="I35" s="36">
        <v>120.15130000000001</v>
      </c>
      <c r="J35" s="23" t="s">
        <v>172</v>
      </c>
      <c r="K35" s="23" t="s">
        <v>172</v>
      </c>
      <c r="L35" s="7" t="s">
        <v>172</v>
      </c>
      <c r="M35" s="47">
        <v>0.01</v>
      </c>
      <c r="N35" s="29">
        <v>44.5</v>
      </c>
      <c r="O35" s="9">
        <v>1.5</v>
      </c>
      <c r="P35" s="9">
        <v>52.2</v>
      </c>
      <c r="Q35" s="7">
        <v>0.01</v>
      </c>
      <c r="R35" s="7">
        <v>0.01</v>
      </c>
      <c r="S35" s="12" t="s">
        <v>126</v>
      </c>
      <c r="T35" s="12" t="s">
        <v>127</v>
      </c>
      <c r="U35" s="43"/>
      <c r="V35" s="23" t="s">
        <v>172</v>
      </c>
      <c r="W35" s="23" t="s">
        <v>172</v>
      </c>
      <c r="X35" s="24" t="s">
        <v>119</v>
      </c>
      <c r="Y35" s="15">
        <v>4.3799999999999996E-6</v>
      </c>
      <c r="Z35" s="15">
        <v>4.1899999999999998E-7</v>
      </c>
      <c r="AA35" s="15">
        <v>3.0399999999999997E-6</v>
      </c>
      <c r="AB35" s="15">
        <v>9.9999999999999995E-8</v>
      </c>
      <c r="AC35" s="48" t="s">
        <v>172</v>
      </c>
      <c r="AD35" s="49">
        <f t="shared" si="0"/>
        <v>10.453460620525059</v>
      </c>
      <c r="AE35" s="24" t="s">
        <v>129</v>
      </c>
      <c r="AF35" s="13">
        <f t="shared" si="1"/>
        <v>6.8599999999999998E-7</v>
      </c>
      <c r="AG35" s="13">
        <f t="shared" si="2"/>
        <v>3.0046799999999997E-12</v>
      </c>
      <c r="AH35" s="37" t="s">
        <v>172</v>
      </c>
      <c r="AI35" s="9">
        <f t="shared" si="3"/>
        <v>0.13782894736842105</v>
      </c>
      <c r="AJ35" s="9">
        <f t="shared" si="3"/>
        <v>30.4</v>
      </c>
      <c r="AK35" s="9">
        <f t="shared" si="4"/>
        <v>3.2894736842105268E-2</v>
      </c>
      <c r="AL35" s="37"/>
      <c r="AM35" s="46" t="s">
        <v>140</v>
      </c>
    </row>
    <row r="36" spans="1:39" s="46" customFormat="1" x14ac:dyDescent="0.3">
      <c r="A36" s="5" t="s">
        <v>112</v>
      </c>
      <c r="B36" s="51" t="s">
        <v>274</v>
      </c>
      <c r="C36" s="51" t="s">
        <v>167</v>
      </c>
      <c r="D36" s="5"/>
      <c r="E36" s="5"/>
      <c r="H36" s="36"/>
      <c r="I36" s="36"/>
      <c r="J36" s="23"/>
      <c r="K36" s="23"/>
      <c r="L36" s="7"/>
      <c r="M36" s="47"/>
      <c r="N36" s="29"/>
      <c r="O36" s="9"/>
      <c r="P36" s="9"/>
      <c r="Q36" s="7"/>
      <c r="R36" s="7"/>
      <c r="S36" s="12"/>
      <c r="T36" s="12"/>
      <c r="U36" s="43"/>
      <c r="V36" s="23"/>
      <c r="W36" s="23"/>
      <c r="X36" s="24"/>
      <c r="Y36" s="15"/>
      <c r="Z36" s="15"/>
      <c r="AA36" s="15"/>
      <c r="AB36" s="15"/>
      <c r="AC36" s="48"/>
      <c r="AD36" s="49"/>
      <c r="AE36" s="24">
        <v>4.07</v>
      </c>
      <c r="AF36" s="13">
        <f t="shared" si="1"/>
        <v>5.6980000000000003E-6</v>
      </c>
      <c r="AG36" s="13"/>
      <c r="AH36" s="37"/>
      <c r="AI36" s="9"/>
      <c r="AJ36" s="9"/>
      <c r="AK36" s="9"/>
      <c r="AL36" s="37"/>
      <c r="AM36" s="101" t="s">
        <v>276</v>
      </c>
    </row>
    <row r="37" spans="1:39" s="46" customFormat="1" x14ac:dyDescent="0.3">
      <c r="A37" s="5" t="s">
        <v>112</v>
      </c>
      <c r="B37" s="51" t="s">
        <v>275</v>
      </c>
      <c r="C37" s="51" t="s">
        <v>167</v>
      </c>
      <c r="D37" s="5"/>
      <c r="E37" s="5"/>
      <c r="H37" s="36"/>
      <c r="I37" s="36"/>
      <c r="J37" s="23"/>
      <c r="K37" s="23"/>
      <c r="L37" s="7"/>
      <c r="M37" s="47"/>
      <c r="N37" s="29"/>
      <c r="O37" s="9"/>
      <c r="P37" s="9"/>
      <c r="Q37" s="7"/>
      <c r="R37" s="7"/>
      <c r="S37" s="12"/>
      <c r="T37" s="12"/>
      <c r="U37" s="43"/>
      <c r="V37" s="23"/>
      <c r="W37" s="23"/>
      <c r="X37" s="24"/>
      <c r="Y37" s="15"/>
      <c r="Z37" s="15"/>
      <c r="AA37" s="15"/>
      <c r="AB37" s="15"/>
      <c r="AC37" s="48"/>
      <c r="AD37" s="49"/>
      <c r="AE37" s="24">
        <v>3.98</v>
      </c>
      <c r="AF37" s="13">
        <f t="shared" si="1"/>
        <v>5.5719999999999993E-6</v>
      </c>
      <c r="AG37" s="13"/>
      <c r="AH37" s="37"/>
      <c r="AI37" s="9"/>
      <c r="AJ37" s="9"/>
      <c r="AK37" s="9"/>
      <c r="AL37" s="37"/>
      <c r="AM37" s="101" t="s">
        <v>276</v>
      </c>
    </row>
    <row r="38" spans="1:39" s="46" customFormat="1" x14ac:dyDescent="0.3">
      <c r="A38" s="5" t="s">
        <v>130</v>
      </c>
      <c r="B38" s="11" t="s">
        <v>131</v>
      </c>
      <c r="C38" s="51" t="s">
        <v>131</v>
      </c>
      <c r="D38" s="5" t="s">
        <v>116</v>
      </c>
      <c r="E38" s="5" t="s">
        <v>180</v>
      </c>
      <c r="F38" s="46" t="s">
        <v>172</v>
      </c>
      <c r="G38" s="46" t="s">
        <v>172</v>
      </c>
      <c r="H38" s="50">
        <v>36.431800000000003</v>
      </c>
      <c r="I38" s="36">
        <v>30.4557</v>
      </c>
      <c r="J38" s="23" t="s">
        <v>172</v>
      </c>
      <c r="K38" s="23" t="s">
        <v>172</v>
      </c>
      <c r="L38" s="7" t="s">
        <v>172</v>
      </c>
      <c r="M38" s="47">
        <v>0.01</v>
      </c>
      <c r="N38" s="29">
        <v>9.4</v>
      </c>
      <c r="O38" s="7">
        <v>1.8</v>
      </c>
      <c r="P38" s="9">
        <v>88.4</v>
      </c>
      <c r="Q38" s="7">
        <v>0.01</v>
      </c>
      <c r="R38" s="29">
        <v>0.3</v>
      </c>
      <c r="S38" s="12" t="s">
        <v>134</v>
      </c>
      <c r="T38" s="12" t="s">
        <v>135</v>
      </c>
      <c r="U38" s="43"/>
      <c r="V38" s="23" t="s">
        <v>172</v>
      </c>
      <c r="W38" s="23" t="s">
        <v>172</v>
      </c>
      <c r="X38" s="24" t="s">
        <v>133</v>
      </c>
      <c r="Y38" s="15">
        <v>1.5119999999999999E-4</v>
      </c>
      <c r="Z38" s="15">
        <v>1.0980000000000001E-6</v>
      </c>
      <c r="AA38" s="15">
        <v>8.1999999999999988E-7</v>
      </c>
      <c r="AB38" s="15">
        <v>1E-8</v>
      </c>
      <c r="AC38" s="48" t="s">
        <v>172</v>
      </c>
      <c r="AD38" s="49">
        <f t="shared" si="0"/>
        <v>137.70491803278685</v>
      </c>
      <c r="AE38" s="24" t="s">
        <v>138</v>
      </c>
      <c r="AF38" s="13">
        <f t="shared" si="1"/>
        <v>4.34E-7</v>
      </c>
      <c r="AG38" s="13">
        <f t="shared" si="2"/>
        <v>6.5620799999999998E-11</v>
      </c>
      <c r="AH38" s="37" t="s">
        <v>172</v>
      </c>
      <c r="AI38" s="9">
        <f t="shared" si="3"/>
        <v>1.3390243902439027</v>
      </c>
      <c r="AJ38" s="9">
        <f t="shared" si="3"/>
        <v>81.999999999999986</v>
      </c>
      <c r="AK38" s="9">
        <f t="shared" si="4"/>
        <v>1.2195121951219514E-2</v>
      </c>
      <c r="AL38" s="37"/>
      <c r="AM38" s="46" t="s">
        <v>140</v>
      </c>
    </row>
    <row r="39" spans="1:39" s="46" customFormat="1" x14ac:dyDescent="0.3">
      <c r="A39" s="5" t="s">
        <v>130</v>
      </c>
      <c r="B39" s="53" t="s">
        <v>132</v>
      </c>
      <c r="C39" s="51" t="s">
        <v>132</v>
      </c>
      <c r="D39" s="5" t="s">
        <v>116</v>
      </c>
      <c r="E39" s="5" t="s">
        <v>180</v>
      </c>
      <c r="F39" s="46" t="s">
        <v>172</v>
      </c>
      <c r="G39" s="46" t="s">
        <v>172</v>
      </c>
      <c r="H39" s="36">
        <v>36.435200000000002</v>
      </c>
      <c r="I39" s="36">
        <v>30.453199999999999</v>
      </c>
      <c r="J39" s="23" t="s">
        <v>172</v>
      </c>
      <c r="K39" s="23" t="s">
        <v>172</v>
      </c>
      <c r="L39" s="7" t="s">
        <v>172</v>
      </c>
      <c r="M39" s="47">
        <v>0.01</v>
      </c>
      <c r="N39" s="29">
        <v>9.6999999999999993</v>
      </c>
      <c r="O39" s="52">
        <v>2.2000000000000002</v>
      </c>
      <c r="P39" s="9">
        <v>87.6</v>
      </c>
      <c r="Q39" s="7">
        <v>0.01</v>
      </c>
      <c r="R39" s="29">
        <v>0.3</v>
      </c>
      <c r="S39" s="54" t="s">
        <v>136</v>
      </c>
      <c r="T39" s="54" t="s">
        <v>137</v>
      </c>
      <c r="U39" s="55"/>
      <c r="V39" s="23" t="s">
        <v>172</v>
      </c>
      <c r="W39" s="23" t="s">
        <v>172</v>
      </c>
      <c r="X39" s="56" t="s">
        <v>133</v>
      </c>
      <c r="Y39" s="57">
        <v>1.405E-4</v>
      </c>
      <c r="Z39" s="57">
        <v>8.0000000000000002E-8</v>
      </c>
      <c r="AA39" s="57">
        <v>1.59E-6</v>
      </c>
      <c r="AB39" s="57">
        <v>2E-8</v>
      </c>
      <c r="AC39" s="48" t="s">
        <v>172</v>
      </c>
      <c r="AD39" s="49">
        <f t="shared" si="0"/>
        <v>1756.25</v>
      </c>
      <c r="AE39" s="56" t="s">
        <v>139</v>
      </c>
      <c r="AF39" s="13">
        <f t="shared" si="1"/>
        <v>4.6199999999999998E-7</v>
      </c>
      <c r="AG39" s="13">
        <f t="shared" si="2"/>
        <v>6.4910999999999994E-11</v>
      </c>
      <c r="AH39" s="37" t="s">
        <v>172</v>
      </c>
      <c r="AI39" s="9">
        <f t="shared" si="3"/>
        <v>5.0314465408805034E-2</v>
      </c>
      <c r="AJ39" s="9">
        <f t="shared" si="3"/>
        <v>79.5</v>
      </c>
      <c r="AK39" s="9">
        <f t="shared" si="4"/>
        <v>1.2578616352201259E-2</v>
      </c>
      <c r="AL39" s="37"/>
      <c r="AM39" s="46" t="s">
        <v>140</v>
      </c>
    </row>
    <row r="40" spans="1:39" s="46" customFormat="1" x14ac:dyDescent="0.3">
      <c r="A40" s="5" t="s">
        <v>189</v>
      </c>
      <c r="B40" s="45" t="s">
        <v>190</v>
      </c>
      <c r="C40" s="45" t="s">
        <v>190</v>
      </c>
      <c r="E40" s="5" t="s">
        <v>192</v>
      </c>
      <c r="J40" s="48">
        <v>52.3</v>
      </c>
      <c r="K40" s="48">
        <v>10.8</v>
      </c>
      <c r="R40" s="48"/>
      <c r="S40" s="48">
        <v>-700</v>
      </c>
      <c r="T40" s="48">
        <v>-210</v>
      </c>
      <c r="U40" s="48">
        <v>-85</v>
      </c>
      <c r="V40" s="48"/>
      <c r="X40" s="48">
        <v>-34.5</v>
      </c>
      <c r="AJ40" s="9"/>
      <c r="AM40" s="46" t="s">
        <v>193</v>
      </c>
    </row>
    <row r="41" spans="1:39" s="46" customFormat="1" x14ac:dyDescent="0.3">
      <c r="A41" s="5" t="s">
        <v>189</v>
      </c>
      <c r="B41" s="45" t="s">
        <v>191</v>
      </c>
      <c r="C41" s="45" t="s">
        <v>191</v>
      </c>
      <c r="E41" s="5" t="s">
        <v>192</v>
      </c>
      <c r="J41" s="48">
        <v>48</v>
      </c>
      <c r="K41" s="48">
        <v>10.7</v>
      </c>
      <c r="R41" s="48"/>
      <c r="S41" s="48">
        <v>-710</v>
      </c>
      <c r="T41" s="48">
        <v>-300</v>
      </c>
      <c r="U41" s="48">
        <v>-84</v>
      </c>
      <c r="V41" s="48"/>
      <c r="X41" s="48">
        <v>-33.9</v>
      </c>
      <c r="AJ41" s="9"/>
      <c r="AM41" s="46" t="s">
        <v>193</v>
      </c>
    </row>
    <row r="42" spans="1:39" s="46" customFormat="1" x14ac:dyDescent="0.3">
      <c r="A42" s="61" t="s">
        <v>196</v>
      </c>
      <c r="B42" s="61" t="s">
        <v>197</v>
      </c>
      <c r="C42" s="61" t="s">
        <v>197</v>
      </c>
      <c r="E42" s="5"/>
      <c r="J42" s="48">
        <v>27.1</v>
      </c>
      <c r="K42" s="48">
        <v>9.31</v>
      </c>
      <c r="R42" s="48"/>
      <c r="S42" s="62">
        <v>-729</v>
      </c>
      <c r="T42" s="62">
        <v>-325</v>
      </c>
      <c r="U42" s="48"/>
      <c r="V42" s="62">
        <v>0.4</v>
      </c>
      <c r="X42" s="62">
        <v>-5.9</v>
      </c>
      <c r="AJ42" s="9"/>
      <c r="AM42" s="61" t="s">
        <v>201</v>
      </c>
    </row>
    <row r="43" spans="1:39" s="46" customFormat="1" x14ac:dyDescent="0.3">
      <c r="A43" s="61" t="s">
        <v>196</v>
      </c>
      <c r="B43" s="61" t="s">
        <v>198</v>
      </c>
      <c r="C43" s="61" t="s">
        <v>198</v>
      </c>
      <c r="E43" s="5"/>
      <c r="J43" s="48">
        <v>26.3</v>
      </c>
      <c r="K43" s="48">
        <v>8.09</v>
      </c>
      <c r="R43" s="48"/>
      <c r="S43" s="62"/>
      <c r="T43" s="62">
        <v>-309</v>
      </c>
      <c r="U43" s="48"/>
      <c r="V43" s="62">
        <v>2.5</v>
      </c>
      <c r="X43" s="62">
        <v>-61.5</v>
      </c>
      <c r="AJ43" s="9"/>
      <c r="AM43" s="61" t="s">
        <v>201</v>
      </c>
    </row>
    <row r="44" spans="1:39" s="46" customFormat="1" x14ac:dyDescent="0.3">
      <c r="A44" s="61" t="s">
        <v>196</v>
      </c>
      <c r="B44" s="61" t="s">
        <v>199</v>
      </c>
      <c r="C44" s="61" t="s">
        <v>199</v>
      </c>
      <c r="E44" s="5"/>
      <c r="J44" s="48">
        <v>29.3</v>
      </c>
      <c r="K44" s="48">
        <v>8.73</v>
      </c>
      <c r="R44" s="48"/>
      <c r="S44" s="62"/>
      <c r="T44" s="62">
        <v>-304</v>
      </c>
      <c r="U44" s="48"/>
      <c r="V44" s="62">
        <v>0</v>
      </c>
      <c r="X44" s="62">
        <v>-49.4</v>
      </c>
      <c r="AJ44" s="9"/>
      <c r="AM44" s="61" t="s">
        <v>201</v>
      </c>
    </row>
    <row r="45" spans="1:39" s="46" customFormat="1" x14ac:dyDescent="0.3">
      <c r="A45" s="61" t="s">
        <v>196</v>
      </c>
      <c r="B45" s="61" t="s">
        <v>200</v>
      </c>
      <c r="C45" s="61" t="s">
        <v>200</v>
      </c>
      <c r="E45" s="5"/>
      <c r="J45" s="63">
        <v>28.2</v>
      </c>
      <c r="K45" s="63">
        <v>8.67</v>
      </c>
      <c r="R45" s="48"/>
      <c r="S45" s="62">
        <v>-733</v>
      </c>
      <c r="T45" s="62">
        <v>-275</v>
      </c>
      <c r="U45" s="48"/>
      <c r="V45" s="62">
        <v>0.4</v>
      </c>
      <c r="X45" s="62">
        <v>-10.6</v>
      </c>
      <c r="AJ45" s="9"/>
      <c r="AM45" s="61" t="s">
        <v>201</v>
      </c>
    </row>
    <row r="46" spans="1:39" x14ac:dyDescent="0.3">
      <c r="A46" s="5" t="s">
        <v>195</v>
      </c>
    </row>
    <row r="47" spans="1:39" x14ac:dyDescent="0.3">
      <c r="A47" s="18" t="s">
        <v>153</v>
      </c>
      <c r="B47" s="20" t="s">
        <v>202</v>
      </c>
      <c r="F47" s="91" t="s">
        <v>222</v>
      </c>
      <c r="N47" s="79">
        <v>22.3</v>
      </c>
      <c r="O47" s="81">
        <v>58.4</v>
      </c>
      <c r="P47" s="81">
        <v>12.6</v>
      </c>
      <c r="Q47" s="82">
        <v>3.5000000000000003E-2</v>
      </c>
      <c r="S47" s="76"/>
      <c r="T47" s="76"/>
      <c r="U47" s="74"/>
      <c r="V47" s="74">
        <v>0</v>
      </c>
      <c r="W47" s="69"/>
      <c r="X47" s="69">
        <v>-22.2</v>
      </c>
      <c r="AF47" s="74"/>
      <c r="AM47" s="61" t="s">
        <v>277</v>
      </c>
    </row>
    <row r="48" spans="1:39" x14ac:dyDescent="0.3">
      <c r="A48" s="18" t="s">
        <v>153</v>
      </c>
      <c r="B48" s="20" t="s">
        <v>203</v>
      </c>
      <c r="F48" s="91" t="s">
        <v>223</v>
      </c>
      <c r="N48" s="79">
        <v>25.1</v>
      </c>
      <c r="O48" s="81">
        <v>56.9</v>
      </c>
      <c r="P48" s="81">
        <v>11</v>
      </c>
      <c r="Q48" s="82">
        <v>2.7E-2</v>
      </c>
      <c r="S48" s="76"/>
      <c r="T48" s="76"/>
      <c r="U48" s="74"/>
      <c r="V48" s="74">
        <v>0.2</v>
      </c>
      <c r="W48" s="69"/>
      <c r="X48" s="69">
        <v>-25.1</v>
      </c>
      <c r="AF48" s="74"/>
      <c r="AM48" s="61" t="s">
        <v>277</v>
      </c>
    </row>
    <row r="49" spans="1:39" x14ac:dyDescent="0.3">
      <c r="A49" s="18" t="s">
        <v>153</v>
      </c>
      <c r="B49" s="20" t="s">
        <v>204</v>
      </c>
      <c r="F49" s="91" t="s">
        <v>34</v>
      </c>
      <c r="N49" s="79">
        <v>28.2</v>
      </c>
      <c r="O49" s="81">
        <v>64.8</v>
      </c>
      <c r="P49" s="81">
        <v>0.12</v>
      </c>
      <c r="Q49" s="82">
        <v>3.5000000000000003E-2</v>
      </c>
      <c r="S49" s="76"/>
      <c r="T49" s="76"/>
      <c r="U49" s="74"/>
      <c r="V49" s="74">
        <v>0.1</v>
      </c>
      <c r="W49" s="69"/>
      <c r="X49" s="69">
        <v>-38</v>
      </c>
      <c r="AF49" s="87"/>
      <c r="AM49" s="61" t="s">
        <v>277</v>
      </c>
    </row>
    <row r="50" spans="1:39" x14ac:dyDescent="0.3">
      <c r="A50" s="18" t="s">
        <v>153</v>
      </c>
      <c r="B50" s="20" t="s">
        <v>205</v>
      </c>
      <c r="F50" s="91" t="s">
        <v>35</v>
      </c>
      <c r="N50" s="79">
        <v>17.100000000000001</v>
      </c>
      <c r="O50" s="81">
        <v>64.099999999999994</v>
      </c>
      <c r="P50" s="81">
        <v>8.5</v>
      </c>
      <c r="Q50" s="82">
        <v>1.6E-2</v>
      </c>
      <c r="S50" s="76"/>
      <c r="T50" s="76"/>
      <c r="U50" s="74"/>
      <c r="V50" s="74">
        <v>0</v>
      </c>
      <c r="W50" s="69"/>
      <c r="X50" s="69">
        <v>-37.6</v>
      </c>
      <c r="AD50" s="20">
        <v>0.35</v>
      </c>
      <c r="AF50" s="87"/>
      <c r="AM50" s="61" t="s">
        <v>277</v>
      </c>
    </row>
    <row r="51" spans="1:39" x14ac:dyDescent="0.3">
      <c r="A51" s="18" t="s">
        <v>153</v>
      </c>
      <c r="B51" s="67" t="s">
        <v>213</v>
      </c>
      <c r="F51" s="68" t="s">
        <v>224</v>
      </c>
      <c r="N51" s="71">
        <v>32.790665169389811</v>
      </c>
      <c r="O51" s="71">
        <v>55.438339759908082</v>
      </c>
      <c r="P51" s="71">
        <v>11.100521608321639</v>
      </c>
      <c r="Q51" s="83">
        <v>0</v>
      </c>
      <c r="S51" s="78">
        <v>-723.38</v>
      </c>
      <c r="T51" s="78">
        <v>-298.33999999999997</v>
      </c>
      <c r="U51" s="68"/>
      <c r="V51" s="85">
        <v>0.05</v>
      </c>
      <c r="W51" s="73"/>
      <c r="X51" s="71">
        <v>-38.4</v>
      </c>
      <c r="AD51" s="20">
        <v>0.49007278145582439</v>
      </c>
      <c r="AE51" s="20">
        <v>1.715321997038066</v>
      </c>
      <c r="AF51" s="88">
        <v>2.4014507958532922E-6</v>
      </c>
      <c r="AH51" s="20">
        <v>0</v>
      </c>
      <c r="AM51" s="61" t="s">
        <v>277</v>
      </c>
    </row>
    <row r="52" spans="1:39" x14ac:dyDescent="0.3">
      <c r="A52" s="18" t="s">
        <v>153</v>
      </c>
      <c r="B52" s="67" t="s">
        <v>214</v>
      </c>
      <c r="F52" s="68" t="s">
        <v>225</v>
      </c>
      <c r="N52" s="71">
        <v>12.740047065852137</v>
      </c>
      <c r="O52" s="71">
        <v>69.633198565781242</v>
      </c>
      <c r="P52" s="71">
        <v>14.979958522758071</v>
      </c>
      <c r="Q52" s="83">
        <v>0</v>
      </c>
      <c r="S52" s="78"/>
      <c r="T52" s="78"/>
      <c r="U52" s="68"/>
      <c r="V52" s="85"/>
      <c r="W52" s="73"/>
      <c r="X52" s="71"/>
      <c r="AF52" s="89"/>
      <c r="AM52" s="61" t="s">
        <v>277</v>
      </c>
    </row>
    <row r="53" spans="1:39" x14ac:dyDescent="0.3">
      <c r="A53" s="18" t="s">
        <v>153</v>
      </c>
      <c r="B53" s="67" t="s">
        <v>215</v>
      </c>
      <c r="F53" s="68" t="s">
        <v>226</v>
      </c>
      <c r="N53" s="71">
        <v>28.019112943393388</v>
      </c>
      <c r="O53" s="71">
        <v>60.178075505633011</v>
      </c>
      <c r="P53" s="71">
        <v>9.6786284809441838</v>
      </c>
      <c r="Q53" s="83">
        <v>0</v>
      </c>
      <c r="S53" s="78">
        <v>-726.55</v>
      </c>
      <c r="T53" s="78">
        <v>-298.75</v>
      </c>
      <c r="U53" s="68"/>
      <c r="V53" s="85"/>
      <c r="W53" s="73"/>
      <c r="X53" s="71">
        <v>-38.299999999999997</v>
      </c>
      <c r="AF53" s="89"/>
      <c r="AM53" s="61" t="s">
        <v>277</v>
      </c>
    </row>
    <row r="54" spans="1:39" x14ac:dyDescent="0.3">
      <c r="A54" s="18" t="s">
        <v>153</v>
      </c>
      <c r="B54" s="65" t="s">
        <v>209</v>
      </c>
      <c r="F54" s="5" t="s">
        <v>227</v>
      </c>
      <c r="N54" s="79">
        <v>0</v>
      </c>
      <c r="O54" s="81">
        <v>78.5</v>
      </c>
      <c r="P54" s="81">
        <v>7.9</v>
      </c>
      <c r="Q54" s="82">
        <v>2.5999999999999999E-2</v>
      </c>
      <c r="S54" s="76"/>
      <c r="T54" s="76"/>
      <c r="U54" s="74"/>
      <c r="V54" s="74">
        <v>0</v>
      </c>
      <c r="W54" s="69"/>
      <c r="X54" s="69">
        <v>-19.600000000000001</v>
      </c>
      <c r="AF54" s="87"/>
      <c r="AM54" s="61" t="s">
        <v>277</v>
      </c>
    </row>
    <row r="55" spans="1:39" x14ac:dyDescent="0.3">
      <c r="A55" s="18" t="s">
        <v>153</v>
      </c>
      <c r="B55" s="67" t="s">
        <v>220</v>
      </c>
      <c r="F55" s="68" t="s">
        <v>228</v>
      </c>
      <c r="N55" s="71">
        <v>0</v>
      </c>
      <c r="O55" s="71">
        <v>81.002868908241751</v>
      </c>
      <c r="P55" s="71">
        <v>13.352058457970628</v>
      </c>
      <c r="Q55" s="83">
        <v>0</v>
      </c>
      <c r="S55" s="78"/>
      <c r="T55" s="78">
        <v>-326.83</v>
      </c>
      <c r="U55" s="68"/>
      <c r="V55" s="85">
        <v>0</v>
      </c>
      <c r="W55" s="73"/>
      <c r="X55" s="71">
        <v>-20.100000000000001</v>
      </c>
      <c r="AD55" s="20">
        <v>0.34270587982982625</v>
      </c>
      <c r="AE55" s="20">
        <v>1.12845621934566</v>
      </c>
      <c r="AF55" s="88">
        <v>1.5798387070839238E-6</v>
      </c>
      <c r="AH55" s="20">
        <v>0</v>
      </c>
      <c r="AM55" s="61" t="s">
        <v>277</v>
      </c>
    </row>
    <row r="56" spans="1:39" x14ac:dyDescent="0.3">
      <c r="A56" s="18" t="s">
        <v>153</v>
      </c>
      <c r="B56" s="67" t="s">
        <v>221</v>
      </c>
      <c r="F56" s="68" t="s">
        <v>229</v>
      </c>
      <c r="N56" s="71"/>
      <c r="O56" s="71"/>
      <c r="P56" s="71"/>
      <c r="Q56" s="83"/>
      <c r="S56" s="78"/>
      <c r="T56" s="78">
        <v>-323.06</v>
      </c>
      <c r="U56" s="68"/>
      <c r="V56" s="85"/>
      <c r="W56" s="73"/>
      <c r="X56" s="71">
        <v>-20.68</v>
      </c>
      <c r="AF56" s="88"/>
      <c r="AM56" s="61" t="s">
        <v>277</v>
      </c>
    </row>
    <row r="57" spans="1:39" x14ac:dyDescent="0.3">
      <c r="A57" s="18" t="s">
        <v>153</v>
      </c>
      <c r="B57" s="64" t="s">
        <v>206</v>
      </c>
      <c r="F57" s="5" t="s">
        <v>230</v>
      </c>
      <c r="N57" s="79">
        <v>0.39</v>
      </c>
      <c r="O57" s="81">
        <v>81.599999999999994</v>
      </c>
      <c r="P57" s="81">
        <v>6.4</v>
      </c>
      <c r="Q57" s="82">
        <v>0.69</v>
      </c>
      <c r="S57" s="76"/>
      <c r="T57" s="76"/>
      <c r="U57" s="74"/>
      <c r="V57" s="74">
        <v>-0.1</v>
      </c>
      <c r="W57" s="69">
        <v>-48.4</v>
      </c>
      <c r="X57" s="69">
        <v>-3.6</v>
      </c>
      <c r="AF57" s="87"/>
      <c r="AM57" s="61" t="s">
        <v>277</v>
      </c>
    </row>
    <row r="58" spans="1:39" x14ac:dyDescent="0.3">
      <c r="A58" s="18" t="s">
        <v>153</v>
      </c>
      <c r="B58" s="64" t="s">
        <v>207</v>
      </c>
      <c r="F58" s="5" t="s">
        <v>231</v>
      </c>
      <c r="N58" s="79">
        <v>11.2</v>
      </c>
      <c r="O58" s="81">
        <v>66.5</v>
      </c>
      <c r="P58" s="81">
        <v>11.8</v>
      </c>
      <c r="Q58" s="82">
        <v>5.8999999999999997E-2</v>
      </c>
      <c r="S58" s="76"/>
      <c r="T58" s="76"/>
      <c r="U58" s="74"/>
      <c r="V58" s="74">
        <v>0</v>
      </c>
      <c r="W58" s="69"/>
      <c r="X58" s="69">
        <v>-15.9</v>
      </c>
      <c r="AF58" s="87"/>
      <c r="AM58" s="61" t="s">
        <v>277</v>
      </c>
    </row>
    <row r="59" spans="1:39" x14ac:dyDescent="0.3">
      <c r="A59" s="18" t="s">
        <v>153</v>
      </c>
      <c r="B59" s="64" t="s">
        <v>208</v>
      </c>
      <c r="F59" s="5" t="s">
        <v>232</v>
      </c>
      <c r="N59" s="79">
        <v>0</v>
      </c>
      <c r="O59" s="81">
        <v>62.3</v>
      </c>
      <c r="P59" s="81">
        <v>0.99</v>
      </c>
      <c r="Q59" s="82">
        <v>2.1000000000000001E-2</v>
      </c>
      <c r="S59" s="76"/>
      <c r="T59" s="76"/>
      <c r="U59" s="74"/>
      <c r="V59" s="74">
        <v>0.1</v>
      </c>
      <c r="W59" s="69"/>
      <c r="X59" s="69">
        <v>-31.6</v>
      </c>
      <c r="AF59" s="87"/>
      <c r="AM59" s="61" t="s">
        <v>277</v>
      </c>
    </row>
    <row r="60" spans="1:39" x14ac:dyDescent="0.3">
      <c r="A60" s="18" t="s">
        <v>153</v>
      </c>
      <c r="B60" s="67" t="s">
        <v>217</v>
      </c>
      <c r="F60" s="68" t="s">
        <v>233</v>
      </c>
      <c r="N60" s="71">
        <v>12.761932082168341</v>
      </c>
      <c r="O60" s="71">
        <v>66.28068910647697</v>
      </c>
      <c r="P60" s="71">
        <v>18.409713312397866</v>
      </c>
      <c r="Q60" s="83">
        <v>0</v>
      </c>
      <c r="S60" s="78">
        <v>-715.03</v>
      </c>
      <c r="T60" s="78">
        <v>-327.63</v>
      </c>
      <c r="U60" s="68"/>
      <c r="V60" s="85">
        <v>0</v>
      </c>
      <c r="W60" s="73"/>
      <c r="X60" s="71">
        <v>-20.79</v>
      </c>
      <c r="AD60" s="20">
        <v>0.36112358513562076</v>
      </c>
      <c r="AE60" s="20">
        <v>1.0962848517450048</v>
      </c>
      <c r="AF60" s="88">
        <v>1.5347987924430067E-6</v>
      </c>
      <c r="AH60" s="20">
        <v>0</v>
      </c>
      <c r="AM60" s="61" t="s">
        <v>277</v>
      </c>
    </row>
    <row r="61" spans="1:39" x14ac:dyDescent="0.3">
      <c r="A61" s="18" t="s">
        <v>153</v>
      </c>
      <c r="B61" s="67" t="s">
        <v>218</v>
      </c>
      <c r="F61" s="68" t="s">
        <v>234</v>
      </c>
      <c r="N61" s="71">
        <v>20.153901273153185</v>
      </c>
      <c r="O61" s="71">
        <v>61.183056309718758</v>
      </c>
      <c r="P61" s="71">
        <v>17.481490628458307</v>
      </c>
      <c r="Q61" s="83">
        <v>0</v>
      </c>
      <c r="S61" s="78">
        <v>-724.88</v>
      </c>
      <c r="T61" s="78">
        <v>-320.98</v>
      </c>
      <c r="U61" s="68"/>
      <c r="V61" s="85"/>
      <c r="W61" s="73"/>
      <c r="X61" s="71">
        <v>-20.68</v>
      </c>
      <c r="AF61" s="89"/>
      <c r="AM61" s="61" t="s">
        <v>277</v>
      </c>
    </row>
    <row r="62" spans="1:39" x14ac:dyDescent="0.3">
      <c r="A62" s="18" t="s">
        <v>153</v>
      </c>
      <c r="B62" s="67" t="s">
        <v>219</v>
      </c>
      <c r="F62" s="68" t="s">
        <v>235</v>
      </c>
      <c r="N62" s="71">
        <v>0.1365841433854357</v>
      </c>
      <c r="O62" s="71">
        <v>74.895873366807976</v>
      </c>
      <c r="P62" s="71">
        <v>23.532970901373112</v>
      </c>
      <c r="Q62" s="83">
        <v>0</v>
      </c>
      <c r="S62" s="78">
        <v>-722.4</v>
      </c>
      <c r="T62" s="78">
        <v>-329.89</v>
      </c>
      <c r="U62" s="68"/>
      <c r="V62" s="85"/>
      <c r="W62" s="73"/>
      <c r="X62" s="71">
        <v>-21.66</v>
      </c>
      <c r="AF62" s="89"/>
      <c r="AM62" s="61" t="s">
        <v>277</v>
      </c>
    </row>
    <row r="63" spans="1:39" x14ac:dyDescent="0.3">
      <c r="A63" s="18" t="s">
        <v>153</v>
      </c>
      <c r="B63" s="67" t="s">
        <v>216</v>
      </c>
      <c r="F63" s="68" t="s">
        <v>236</v>
      </c>
      <c r="N63" s="71">
        <v>14.646043359973566</v>
      </c>
      <c r="O63" s="71">
        <v>59.271709318458669</v>
      </c>
      <c r="P63" s="71">
        <v>15.603595280953</v>
      </c>
      <c r="Q63" s="83">
        <v>0.13308772344716666</v>
      </c>
      <c r="S63" s="78">
        <v>-729.89</v>
      </c>
      <c r="T63" s="78">
        <v>-302.44</v>
      </c>
      <c r="U63" s="68"/>
      <c r="V63" s="85"/>
      <c r="W63" s="73">
        <v>-17.239999999999998</v>
      </c>
      <c r="X63" s="71">
        <v>-24.75</v>
      </c>
      <c r="AF63" s="89"/>
      <c r="AM63" s="61" t="s">
        <v>277</v>
      </c>
    </row>
    <row r="64" spans="1:39" x14ac:dyDescent="0.3">
      <c r="A64" s="18" t="s">
        <v>153</v>
      </c>
      <c r="B64" s="66" t="s">
        <v>212</v>
      </c>
      <c r="F64" s="92" t="s">
        <v>237</v>
      </c>
      <c r="N64" s="80">
        <v>0</v>
      </c>
      <c r="O64" s="80">
        <v>83.090122520257211</v>
      </c>
      <c r="P64" s="80">
        <v>10.094092879637651</v>
      </c>
      <c r="Q64" s="84">
        <v>2.8363548728216694E-2</v>
      </c>
      <c r="S64" s="77"/>
      <c r="T64" s="77">
        <v>-312</v>
      </c>
      <c r="U64" s="75"/>
      <c r="V64" s="86"/>
      <c r="W64" s="72">
        <v>-17</v>
      </c>
      <c r="X64" s="70">
        <v>-30</v>
      </c>
      <c r="AF64" s="90"/>
      <c r="AM64" s="61" t="s">
        <v>277</v>
      </c>
    </row>
    <row r="65" spans="1:39" x14ac:dyDescent="0.3">
      <c r="A65" s="18" t="s">
        <v>153</v>
      </c>
      <c r="B65" s="66" t="s">
        <v>210</v>
      </c>
      <c r="F65" s="92" t="s">
        <v>238</v>
      </c>
      <c r="N65" s="80">
        <v>9.3550767405115458</v>
      </c>
      <c r="O65" s="80">
        <v>67.38674711666512</v>
      </c>
      <c r="P65" s="80">
        <v>16.211748904483052</v>
      </c>
      <c r="Q65" s="84">
        <v>3.8982948605027753E-2</v>
      </c>
      <c r="S65" s="77">
        <v>-732</v>
      </c>
      <c r="T65" s="77">
        <v>-293</v>
      </c>
      <c r="U65" s="75"/>
      <c r="V65" s="86"/>
      <c r="W65" s="72"/>
      <c r="X65" s="70">
        <v>-22</v>
      </c>
      <c r="AF65" s="90"/>
      <c r="AM65" s="61" t="s">
        <v>277</v>
      </c>
    </row>
    <row r="66" spans="1:39" x14ac:dyDescent="0.3">
      <c r="A66" s="18" t="s">
        <v>153</v>
      </c>
      <c r="B66" s="66" t="s">
        <v>211</v>
      </c>
      <c r="F66" s="92" t="s">
        <v>239</v>
      </c>
      <c r="N66" s="80">
        <v>10.302220757512869</v>
      </c>
      <c r="O66" s="80">
        <v>66.432298977743642</v>
      </c>
      <c r="P66" s="80">
        <v>18.089642667417948</v>
      </c>
      <c r="Q66" s="84">
        <v>2.4283788059721565E-2</v>
      </c>
      <c r="S66" s="77">
        <v>-735</v>
      </c>
      <c r="T66" s="77">
        <v>-294</v>
      </c>
      <c r="U66" s="75"/>
      <c r="V66" s="86"/>
      <c r="W66" s="72"/>
      <c r="X66" s="70">
        <v>-22</v>
      </c>
      <c r="AF66" s="90"/>
      <c r="AM66" s="61" t="s">
        <v>277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D045-F52C-4477-9DF1-3265F16135AA}">
  <dimension ref="A1:AM39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K38" sqref="K38"/>
    </sheetView>
  </sheetViews>
  <sheetFormatPr defaultRowHeight="14.4" x14ac:dyDescent="0.3"/>
  <cols>
    <col min="1" max="1" width="14.77734375" style="20" customWidth="1"/>
    <col min="2" max="2" width="17.33203125" style="20" customWidth="1"/>
    <col min="3" max="3" width="17.33203125" style="20" hidden="1" customWidth="1"/>
    <col min="4" max="4" width="15.109375" style="20" customWidth="1"/>
    <col min="5" max="5" width="20.109375" style="20" customWidth="1"/>
    <col min="6" max="6" width="5.21875" style="20" customWidth="1"/>
    <col min="7" max="7" width="5" style="20" customWidth="1"/>
    <col min="8" max="8" width="10.44140625" style="20" customWidth="1"/>
    <col min="9" max="9" width="12.44140625" style="20" customWidth="1"/>
    <col min="10" max="10" width="9.88671875" style="21" customWidth="1"/>
    <col min="11" max="18" width="9.88671875" style="20" customWidth="1"/>
    <col min="19" max="19" width="7.77734375" style="20" customWidth="1"/>
    <col min="20" max="20" width="8.21875" style="20" customWidth="1"/>
    <col min="21" max="21" width="8.21875" style="44" customWidth="1"/>
    <col min="22" max="22" width="7.77734375" style="20" customWidth="1"/>
    <col min="23" max="24" width="10.21875" style="20" customWidth="1"/>
    <col min="25" max="28" width="9.44140625" style="20" customWidth="1"/>
    <col min="29" max="29" width="10.109375" style="20" customWidth="1"/>
    <col min="30" max="30" width="10.33203125" style="20" customWidth="1"/>
    <col min="31" max="31" width="6.88671875" style="20" customWidth="1"/>
    <col min="32" max="32" width="10.44140625" style="20" customWidth="1"/>
    <col min="33" max="34" width="10.88671875" style="20" customWidth="1"/>
    <col min="35" max="37" width="11.21875" style="20" customWidth="1"/>
    <col min="38" max="38" width="10.88671875" style="20" customWidth="1"/>
    <col min="39" max="39" width="21.109375" style="20" customWidth="1"/>
    <col min="40" max="44" width="8.88671875" style="20"/>
    <col min="45" max="45" width="9.88671875" style="20" customWidth="1"/>
    <col min="46" max="46" width="10.109375" style="20" customWidth="1"/>
    <col min="47" max="47" width="8.109375" style="20" bestFit="1" customWidth="1"/>
    <col min="48" max="48" width="7.6640625" style="20" bestFit="1" customWidth="1"/>
    <col min="49" max="49" width="8.44140625" style="20" customWidth="1"/>
    <col min="50" max="50" width="7.88671875" style="20" bestFit="1" customWidth="1"/>
    <col min="51" max="51" width="8.88671875" style="20"/>
    <col min="52" max="52" width="10.5546875" style="20" customWidth="1"/>
    <col min="53" max="58" width="8.88671875" style="20"/>
    <col min="59" max="59" width="10.33203125" style="20" customWidth="1"/>
    <col min="60" max="60" width="12.33203125" style="20" customWidth="1"/>
    <col min="61" max="61" width="8.88671875" style="20"/>
    <col min="62" max="62" width="11.88671875" style="20" customWidth="1"/>
    <col min="63" max="63" width="8.5546875" style="20" bestFit="1" customWidth="1"/>
    <col min="64" max="66" width="8.88671875" style="20"/>
    <col min="67" max="67" width="9.88671875" style="20" customWidth="1"/>
    <col min="68" max="68" width="11.6640625" style="20" customWidth="1"/>
    <col min="69" max="69" width="10.5546875" style="20" customWidth="1"/>
    <col min="70" max="70" width="8.88671875" style="20"/>
    <col min="71" max="71" width="9.21875" style="20" customWidth="1"/>
    <col min="72" max="72" width="11.21875" style="20" customWidth="1"/>
    <col min="73" max="16384" width="8.88671875" style="20"/>
  </cols>
  <sheetData>
    <row r="1" spans="1:39" s="19" customFormat="1" x14ac:dyDescent="0.3">
      <c r="A1" s="1" t="s">
        <v>22</v>
      </c>
      <c r="B1" s="1" t="s">
        <v>185</v>
      </c>
      <c r="C1" s="1" t="s">
        <v>184</v>
      </c>
      <c r="D1" s="1" t="s">
        <v>178</v>
      </c>
      <c r="E1" s="1" t="s">
        <v>179</v>
      </c>
      <c r="F1" s="1" t="s">
        <v>31</v>
      </c>
      <c r="G1" s="1" t="s">
        <v>30</v>
      </c>
      <c r="H1" s="1" t="s">
        <v>168</v>
      </c>
      <c r="I1" s="1" t="s">
        <v>169</v>
      </c>
      <c r="J1" s="1" t="s">
        <v>177</v>
      </c>
      <c r="K1" s="1" t="s">
        <v>152</v>
      </c>
      <c r="L1" s="1" t="s">
        <v>176</v>
      </c>
      <c r="M1" s="1" t="s">
        <v>151</v>
      </c>
      <c r="N1" s="1" t="s">
        <v>0</v>
      </c>
      <c r="O1" s="1" t="s">
        <v>3</v>
      </c>
      <c r="P1" s="1" t="s">
        <v>1</v>
      </c>
      <c r="Q1" s="1" t="s">
        <v>2</v>
      </c>
      <c r="R1" s="1" t="s">
        <v>150</v>
      </c>
      <c r="S1" s="10" t="s">
        <v>72</v>
      </c>
      <c r="T1" s="1" t="s">
        <v>93</v>
      </c>
      <c r="U1" s="39" t="s">
        <v>188</v>
      </c>
      <c r="V1" s="10" t="s">
        <v>87</v>
      </c>
      <c r="W1" s="1" t="s">
        <v>62</v>
      </c>
      <c r="X1" s="1" t="s">
        <v>4</v>
      </c>
      <c r="Y1" s="1" t="s">
        <v>5</v>
      </c>
      <c r="Z1" s="1" t="s">
        <v>6</v>
      </c>
      <c r="AA1" s="1" t="s">
        <v>8</v>
      </c>
      <c r="AB1" s="1" t="s">
        <v>12</v>
      </c>
      <c r="AC1" s="1" t="s">
        <v>9</v>
      </c>
      <c r="AD1" s="4" t="s">
        <v>7</v>
      </c>
      <c r="AE1" s="1" t="s">
        <v>10</v>
      </c>
      <c r="AF1" s="4" t="s">
        <v>148</v>
      </c>
      <c r="AG1" s="4" t="s">
        <v>149</v>
      </c>
      <c r="AH1" s="4" t="s">
        <v>173</v>
      </c>
      <c r="AI1" s="4" t="s">
        <v>174</v>
      </c>
      <c r="AJ1" s="4" t="s">
        <v>194</v>
      </c>
      <c r="AK1" s="4" t="s">
        <v>175</v>
      </c>
      <c r="AL1" s="4"/>
      <c r="AM1" s="1" t="s">
        <v>24</v>
      </c>
    </row>
    <row r="2" spans="1:39" x14ac:dyDescent="0.3">
      <c r="A2" s="18" t="s">
        <v>153</v>
      </c>
      <c r="B2" s="20" t="s">
        <v>186</v>
      </c>
      <c r="C2" s="17" t="s">
        <v>13</v>
      </c>
      <c r="D2" s="5" t="s">
        <v>42</v>
      </c>
      <c r="E2" s="5" t="s">
        <v>181</v>
      </c>
      <c r="F2" s="20" t="s">
        <v>32</v>
      </c>
      <c r="G2" s="20" t="s">
        <v>26</v>
      </c>
      <c r="H2" s="34">
        <v>-22.3047</v>
      </c>
      <c r="I2" s="34">
        <v>166.8408</v>
      </c>
      <c r="J2" s="26">
        <v>-40.1</v>
      </c>
      <c r="K2" s="26">
        <v>10.8</v>
      </c>
      <c r="L2" s="27">
        <v>-285</v>
      </c>
      <c r="M2" s="27" t="s">
        <v>170</v>
      </c>
      <c r="N2" s="28">
        <v>36.1</v>
      </c>
      <c r="O2" s="28">
        <v>50.3</v>
      </c>
      <c r="P2" s="28">
        <v>13.7</v>
      </c>
      <c r="Q2" s="29" t="s">
        <v>170</v>
      </c>
      <c r="R2" s="29" t="s">
        <v>170</v>
      </c>
      <c r="S2" s="7" t="s">
        <v>172</v>
      </c>
      <c r="T2" s="7" t="s">
        <v>172</v>
      </c>
      <c r="U2" s="40">
        <v>-30</v>
      </c>
      <c r="V2" s="23" t="s">
        <v>172</v>
      </c>
      <c r="W2" s="23" t="s">
        <v>172</v>
      </c>
      <c r="X2" s="30" t="s">
        <v>141</v>
      </c>
      <c r="Y2" s="13">
        <v>3.8800000000000001E-6</v>
      </c>
      <c r="Z2" s="13">
        <v>1.4966999999999999E-5</v>
      </c>
      <c r="AA2" s="13">
        <v>2.2000000000000001E-6</v>
      </c>
      <c r="AB2" s="13">
        <v>1.4000000000000001E-7</v>
      </c>
      <c r="AC2" s="25">
        <v>308.60000000000002</v>
      </c>
      <c r="AD2" s="25">
        <f>Y2/Z2</f>
        <v>0.2592369880403555</v>
      </c>
      <c r="AE2" s="22">
        <v>1</v>
      </c>
      <c r="AF2" s="13">
        <f>AE2*(0.0000014)</f>
        <v>1.3999999999999999E-6</v>
      </c>
      <c r="AG2" s="13">
        <f>AF2*Y2</f>
        <v>5.4320000000000003E-12</v>
      </c>
      <c r="AH2" s="37" t="s">
        <v>172</v>
      </c>
      <c r="AI2" s="9">
        <f>Z2/AA2</f>
        <v>6.8031818181818178</v>
      </c>
      <c r="AJ2" s="9">
        <f>AA2/AB2</f>
        <v>15.714285714285714</v>
      </c>
      <c r="AK2" s="9">
        <f>AB2/AA2</f>
        <v>6.3636363636363644E-2</v>
      </c>
      <c r="AL2" s="37"/>
      <c r="AM2" s="20" t="s">
        <v>140</v>
      </c>
    </row>
    <row r="3" spans="1:39" s="46" customFormat="1" x14ac:dyDescent="0.3">
      <c r="A3" s="18" t="s">
        <v>153</v>
      </c>
      <c r="B3" s="46" t="s">
        <v>187</v>
      </c>
      <c r="C3" s="53" t="s">
        <v>14</v>
      </c>
      <c r="D3" s="5" t="s">
        <v>42</v>
      </c>
      <c r="E3" s="5" t="s">
        <v>181</v>
      </c>
      <c r="F3" s="46" t="s">
        <v>33</v>
      </c>
      <c r="G3" s="46" t="s">
        <v>26</v>
      </c>
      <c r="H3" s="34">
        <v>-22.3047</v>
      </c>
      <c r="I3" s="34">
        <v>166.8408</v>
      </c>
      <c r="J3" s="26">
        <v>31.6</v>
      </c>
      <c r="K3" s="26">
        <v>10.5</v>
      </c>
      <c r="L3" s="27">
        <v>-800</v>
      </c>
      <c r="M3" s="27" t="s">
        <v>170</v>
      </c>
      <c r="N3" s="28">
        <v>32.4</v>
      </c>
      <c r="O3" s="28">
        <v>51.9</v>
      </c>
      <c r="P3" s="28">
        <v>15.7</v>
      </c>
      <c r="Q3" s="29" t="s">
        <v>170</v>
      </c>
      <c r="R3" s="29" t="s">
        <v>170</v>
      </c>
      <c r="S3" s="7" t="s">
        <v>172</v>
      </c>
      <c r="T3" s="7" t="s">
        <v>172</v>
      </c>
      <c r="U3" s="59">
        <v>-30</v>
      </c>
      <c r="V3" s="23" t="s">
        <v>172</v>
      </c>
      <c r="W3" s="23" t="s">
        <v>172</v>
      </c>
      <c r="X3" s="23" t="s">
        <v>172</v>
      </c>
      <c r="Y3" s="13">
        <v>6.3999999999999997E-6</v>
      </c>
      <c r="Z3" s="13">
        <v>1.3032E-5</v>
      </c>
      <c r="AA3" s="13">
        <v>3.3699999999999999E-6</v>
      </c>
      <c r="AB3" s="13">
        <v>3.3000000000000002E-7</v>
      </c>
      <c r="AC3" s="49">
        <v>301.2</v>
      </c>
      <c r="AD3" s="49">
        <f t="shared" ref="AD3:AD37" si="0">Y3/Z3</f>
        <v>0.49109883364027007</v>
      </c>
      <c r="AE3" s="22">
        <v>0.43</v>
      </c>
      <c r="AF3" s="13">
        <f t="shared" ref="AF3:AF37" si="1">AE3*(0.0000014)</f>
        <v>6.0199999999999991E-7</v>
      </c>
      <c r="AG3" s="13">
        <f t="shared" ref="AG3:AG37" si="2">AF3*Y3</f>
        <v>3.8527999999999991E-12</v>
      </c>
      <c r="AH3" s="37" t="s">
        <v>172</v>
      </c>
      <c r="AI3" s="9">
        <f t="shared" ref="AI3:AI37" si="3">Z3/AA3</f>
        <v>3.8670623145400596</v>
      </c>
      <c r="AJ3" s="9">
        <f t="shared" ref="AJ3:AJ37" si="4">AA3/AB3</f>
        <v>10.212121212121211</v>
      </c>
      <c r="AK3" s="9">
        <f t="shared" ref="AK3:AK37" si="5">AB3/AA3</f>
        <v>9.7922848664688436E-2</v>
      </c>
      <c r="AL3" s="37"/>
      <c r="AM3" s="46" t="s">
        <v>140</v>
      </c>
    </row>
    <row r="4" spans="1:39" s="46" customFormat="1" x14ac:dyDescent="0.3">
      <c r="A4" s="18" t="s">
        <v>153</v>
      </c>
      <c r="B4" s="46" t="s">
        <v>15</v>
      </c>
      <c r="C4" s="53" t="s">
        <v>15</v>
      </c>
      <c r="D4" s="5" t="s">
        <v>42</v>
      </c>
      <c r="E4" s="5" t="s">
        <v>181</v>
      </c>
      <c r="F4" s="46" t="s">
        <v>34</v>
      </c>
      <c r="G4" s="46" t="s">
        <v>27</v>
      </c>
      <c r="H4" s="34">
        <v>-22.299199999999999</v>
      </c>
      <c r="I4" s="34">
        <v>166.86170000000001</v>
      </c>
      <c r="J4" s="26">
        <v>30.4</v>
      </c>
      <c r="K4" s="26">
        <v>10.9</v>
      </c>
      <c r="L4" s="27">
        <v>-480</v>
      </c>
      <c r="M4" s="27" t="s">
        <v>170</v>
      </c>
      <c r="N4" s="28">
        <v>26.8</v>
      </c>
      <c r="O4" s="28">
        <v>61.9</v>
      </c>
      <c r="P4" s="29">
        <v>11.3</v>
      </c>
      <c r="Q4" s="29" t="s">
        <v>170</v>
      </c>
      <c r="R4" s="29" t="s">
        <v>170</v>
      </c>
      <c r="S4" s="7" t="s">
        <v>172</v>
      </c>
      <c r="T4" s="7" t="s">
        <v>172</v>
      </c>
      <c r="U4" s="59">
        <v>-30</v>
      </c>
      <c r="V4" s="23" t="s">
        <v>172</v>
      </c>
      <c r="W4" s="23" t="s">
        <v>172</v>
      </c>
      <c r="X4" s="30" t="s">
        <v>142</v>
      </c>
      <c r="Y4" s="13">
        <v>3.9299999999999996E-6</v>
      </c>
      <c r="Z4" s="13">
        <v>1.2250999999999998E-5</v>
      </c>
      <c r="AA4" s="13">
        <v>2.3989999999999999E-5</v>
      </c>
      <c r="AB4" s="13">
        <v>4.6999999999999995E-7</v>
      </c>
      <c r="AC4" s="49">
        <v>315.2</v>
      </c>
      <c r="AD4" s="49">
        <f t="shared" si="0"/>
        <v>0.32079013958044245</v>
      </c>
      <c r="AE4" s="22">
        <v>1.56</v>
      </c>
      <c r="AF4" s="13">
        <f t="shared" si="1"/>
        <v>2.1840000000000002E-6</v>
      </c>
      <c r="AG4" s="13">
        <f t="shared" si="2"/>
        <v>8.5831200000000007E-12</v>
      </c>
      <c r="AH4" s="37" t="s">
        <v>172</v>
      </c>
      <c r="AI4" s="9">
        <f t="shared" si="3"/>
        <v>0.5106711129637348</v>
      </c>
      <c r="AJ4" s="9">
        <f t="shared" si="4"/>
        <v>51.042553191489368</v>
      </c>
      <c r="AK4" s="9">
        <f t="shared" si="5"/>
        <v>1.9591496456857021E-2</v>
      </c>
      <c r="AL4" s="37"/>
      <c r="AM4" s="46" t="s">
        <v>140</v>
      </c>
    </row>
    <row r="5" spans="1:39" s="46" customFormat="1" x14ac:dyDescent="0.3">
      <c r="A5" s="18" t="s">
        <v>153</v>
      </c>
      <c r="B5" s="46" t="s">
        <v>16</v>
      </c>
      <c r="C5" s="53" t="s">
        <v>16</v>
      </c>
      <c r="D5" s="5" t="s">
        <v>42</v>
      </c>
      <c r="E5" s="5" t="s">
        <v>181</v>
      </c>
      <c r="F5" s="46" t="s">
        <v>35</v>
      </c>
      <c r="G5" s="46" t="s">
        <v>27</v>
      </c>
      <c r="H5" s="34">
        <v>-22.299199999999999</v>
      </c>
      <c r="I5" s="34">
        <v>166.86170000000001</v>
      </c>
      <c r="J5" s="26">
        <v>30.5</v>
      </c>
      <c r="K5" s="26">
        <v>10.6</v>
      </c>
      <c r="L5" s="27">
        <v>-230</v>
      </c>
      <c r="M5" s="27" t="s">
        <v>170</v>
      </c>
      <c r="N5" s="28">
        <v>32.9</v>
      </c>
      <c r="O5" s="28">
        <v>55.3</v>
      </c>
      <c r="P5" s="29">
        <v>11.5</v>
      </c>
      <c r="Q5" s="29" t="s">
        <v>170</v>
      </c>
      <c r="R5" s="29" t="s">
        <v>170</v>
      </c>
      <c r="S5" s="7" t="s">
        <v>172</v>
      </c>
      <c r="T5" s="7" t="s">
        <v>172</v>
      </c>
      <c r="U5" s="59">
        <v>-30</v>
      </c>
      <c r="V5" s="23" t="s">
        <v>172</v>
      </c>
      <c r="W5" s="23" t="s">
        <v>172</v>
      </c>
      <c r="X5" s="30" t="s">
        <v>143</v>
      </c>
      <c r="Y5" s="13">
        <v>3.9899999999999999E-6</v>
      </c>
      <c r="Z5" s="13">
        <v>1.6423999999999997E-5</v>
      </c>
      <c r="AA5" s="13">
        <v>9.9699999999999994E-6</v>
      </c>
      <c r="AB5" s="13">
        <v>2.9999999999999999E-7</v>
      </c>
      <c r="AC5" s="49">
        <v>301.2</v>
      </c>
      <c r="AD5" s="49">
        <f t="shared" si="0"/>
        <v>0.24293716512420852</v>
      </c>
      <c r="AE5" s="22">
        <v>1.73</v>
      </c>
      <c r="AF5" s="13">
        <f t="shared" si="1"/>
        <v>2.4219999999999999E-6</v>
      </c>
      <c r="AG5" s="13">
        <f t="shared" si="2"/>
        <v>9.6637799999999998E-12</v>
      </c>
      <c r="AH5" s="37" t="s">
        <v>172</v>
      </c>
      <c r="AI5" s="9">
        <f t="shared" si="3"/>
        <v>1.6473420260782345</v>
      </c>
      <c r="AJ5" s="9">
        <f t="shared" si="4"/>
        <v>33.233333333333334</v>
      </c>
      <c r="AK5" s="9">
        <f t="shared" si="5"/>
        <v>3.0090270812437311E-2</v>
      </c>
      <c r="AL5" s="37"/>
      <c r="AM5" s="46" t="s">
        <v>140</v>
      </c>
    </row>
    <row r="6" spans="1:39" s="46" customFormat="1" x14ac:dyDescent="0.3">
      <c r="A6" s="18" t="s">
        <v>153</v>
      </c>
      <c r="B6" s="46" t="s">
        <v>17</v>
      </c>
      <c r="C6" s="53" t="s">
        <v>17</v>
      </c>
      <c r="D6" s="5" t="s">
        <v>42</v>
      </c>
      <c r="E6" s="5" t="s">
        <v>181</v>
      </c>
      <c r="F6" s="46" t="s">
        <v>36</v>
      </c>
      <c r="G6" s="46" t="s">
        <v>27</v>
      </c>
      <c r="H6" s="34">
        <v>-22.299199999999999</v>
      </c>
      <c r="I6" s="34">
        <v>166.86170000000001</v>
      </c>
      <c r="J6" s="26" t="s">
        <v>172</v>
      </c>
      <c r="K6" s="26">
        <v>10.6</v>
      </c>
      <c r="L6" s="27">
        <v>-285</v>
      </c>
      <c r="M6" s="27" t="s">
        <v>170</v>
      </c>
      <c r="N6" s="28">
        <v>29.8</v>
      </c>
      <c r="O6" s="28">
        <v>58.9</v>
      </c>
      <c r="P6" s="29">
        <v>11.3</v>
      </c>
      <c r="Q6" s="29" t="s">
        <v>170</v>
      </c>
      <c r="R6" s="29" t="s">
        <v>170</v>
      </c>
      <c r="S6" s="7" t="s">
        <v>172</v>
      </c>
      <c r="T6" s="7" t="s">
        <v>172</v>
      </c>
      <c r="U6" s="59">
        <v>-30</v>
      </c>
      <c r="V6" s="23" t="s">
        <v>172</v>
      </c>
      <c r="W6" s="23" t="s">
        <v>172</v>
      </c>
      <c r="X6" s="23" t="s">
        <v>172</v>
      </c>
      <c r="Y6" s="13">
        <v>3.9899999999999999E-6</v>
      </c>
      <c r="Z6" s="13">
        <v>9.55E-6</v>
      </c>
      <c r="AA6" s="13">
        <v>5.0799999999999996E-6</v>
      </c>
      <c r="AB6" s="13">
        <v>1.6E-7</v>
      </c>
      <c r="AC6" s="49">
        <v>292.89999999999998</v>
      </c>
      <c r="AD6" s="49">
        <f t="shared" si="0"/>
        <v>0.41780104712041882</v>
      </c>
      <c r="AE6" s="22">
        <v>1.76</v>
      </c>
      <c r="AF6" s="13">
        <f t="shared" si="1"/>
        <v>2.464E-6</v>
      </c>
      <c r="AG6" s="13">
        <f t="shared" si="2"/>
        <v>9.8313599999999998E-12</v>
      </c>
      <c r="AH6" s="37" t="s">
        <v>172</v>
      </c>
      <c r="AI6" s="9">
        <f t="shared" si="3"/>
        <v>1.8799212598425199</v>
      </c>
      <c r="AJ6" s="9">
        <f t="shared" si="4"/>
        <v>31.749999999999996</v>
      </c>
      <c r="AK6" s="9">
        <f t="shared" si="5"/>
        <v>3.1496062992125984E-2</v>
      </c>
      <c r="AL6" s="37"/>
      <c r="AM6" s="46" t="s">
        <v>140</v>
      </c>
    </row>
    <row r="7" spans="1:39" s="46" customFormat="1" x14ac:dyDescent="0.3">
      <c r="A7" s="18" t="s">
        <v>153</v>
      </c>
      <c r="B7" s="46" t="s">
        <v>18</v>
      </c>
      <c r="C7" s="18" t="s">
        <v>154</v>
      </c>
      <c r="D7" s="5" t="s">
        <v>43</v>
      </c>
      <c r="E7" s="5" t="s">
        <v>182</v>
      </c>
      <c r="F7" s="46" t="s">
        <v>37</v>
      </c>
      <c r="G7" s="46" t="s">
        <v>28</v>
      </c>
      <c r="H7" s="35">
        <v>-21.535</v>
      </c>
      <c r="I7" s="35">
        <v>165.88890000000001</v>
      </c>
      <c r="J7" s="31">
        <v>41.5</v>
      </c>
      <c r="K7" s="31">
        <v>9.1999999999999993</v>
      </c>
      <c r="L7" s="32">
        <v>-226</v>
      </c>
      <c r="M7" s="32">
        <v>0.1</v>
      </c>
      <c r="N7" s="29" t="s">
        <v>170</v>
      </c>
      <c r="O7" s="29">
        <v>97.2</v>
      </c>
      <c r="P7" s="29">
        <v>2.7</v>
      </c>
      <c r="Q7" s="29" t="s">
        <v>170</v>
      </c>
      <c r="R7" s="29" t="s">
        <v>170</v>
      </c>
      <c r="S7" s="7" t="s">
        <v>172</v>
      </c>
      <c r="T7" s="7" t="s">
        <v>172</v>
      </c>
      <c r="U7" s="60">
        <v>-31.2</v>
      </c>
      <c r="V7" s="23" t="s">
        <v>172</v>
      </c>
      <c r="W7" s="23" t="s">
        <v>172</v>
      </c>
      <c r="X7" s="30" t="s">
        <v>144</v>
      </c>
      <c r="Y7" s="13">
        <v>3.2091999999999998E-4</v>
      </c>
      <c r="Z7" s="13">
        <v>1.0392E-5</v>
      </c>
      <c r="AA7" s="13">
        <v>3.4199999999999999E-6</v>
      </c>
      <c r="AB7" s="13">
        <v>3.3000000000000002E-7</v>
      </c>
      <c r="AC7" s="49">
        <v>312.60000000000002</v>
      </c>
      <c r="AD7" s="49">
        <f t="shared" si="0"/>
        <v>30.881447267128561</v>
      </c>
      <c r="AE7" s="22">
        <v>7.0000000000000007E-2</v>
      </c>
      <c r="AF7" s="13">
        <f t="shared" si="1"/>
        <v>9.8000000000000004E-8</v>
      </c>
      <c r="AG7" s="13">
        <f t="shared" si="2"/>
        <v>3.1450160000000001E-11</v>
      </c>
      <c r="AH7" s="37" t="s">
        <v>172</v>
      </c>
      <c r="AI7" s="9">
        <f t="shared" si="3"/>
        <v>3.0385964912280703</v>
      </c>
      <c r="AJ7" s="9">
        <f t="shared" si="4"/>
        <v>10.363636363636363</v>
      </c>
      <c r="AK7" s="9">
        <f t="shared" si="5"/>
        <v>9.6491228070175447E-2</v>
      </c>
      <c r="AL7" s="37"/>
      <c r="AM7" s="46" t="s">
        <v>140</v>
      </c>
    </row>
    <row r="8" spans="1:39" s="46" customFormat="1" x14ac:dyDescent="0.3">
      <c r="A8" s="18" t="s">
        <v>153</v>
      </c>
      <c r="B8" s="46" t="s">
        <v>19</v>
      </c>
      <c r="C8" s="18" t="s">
        <v>154</v>
      </c>
      <c r="D8" s="5" t="s">
        <v>43</v>
      </c>
      <c r="E8" s="5" t="s">
        <v>182</v>
      </c>
      <c r="F8" s="46" t="s">
        <v>38</v>
      </c>
      <c r="G8" s="46" t="s">
        <v>28</v>
      </c>
      <c r="H8" s="35">
        <v>-21.535</v>
      </c>
      <c r="I8" s="35">
        <v>165.88890000000001</v>
      </c>
      <c r="J8" s="31">
        <v>41.5</v>
      </c>
      <c r="K8" s="31">
        <v>9.1999999999999993</v>
      </c>
      <c r="L8" s="32">
        <v>-230</v>
      </c>
      <c r="M8" s="32">
        <v>0.1</v>
      </c>
      <c r="N8" s="29" t="s">
        <v>170</v>
      </c>
      <c r="O8" s="29">
        <v>97.3</v>
      </c>
      <c r="P8" s="29">
        <v>2.7</v>
      </c>
      <c r="Q8" s="29" t="s">
        <v>170</v>
      </c>
      <c r="R8" s="29" t="s">
        <v>170</v>
      </c>
      <c r="S8" s="7" t="s">
        <v>172</v>
      </c>
      <c r="T8" s="7" t="s">
        <v>172</v>
      </c>
      <c r="U8" s="60">
        <v>-31.2</v>
      </c>
      <c r="V8" s="23" t="s">
        <v>172</v>
      </c>
      <c r="W8" s="23" t="s">
        <v>172</v>
      </c>
      <c r="X8" s="30" t="s">
        <v>145</v>
      </c>
      <c r="Y8" s="13">
        <v>9.9370000000000006E-5</v>
      </c>
      <c r="Z8" s="13">
        <v>1.1046999999999999E-5</v>
      </c>
      <c r="AA8" s="13">
        <v>1.33E-5</v>
      </c>
      <c r="AB8" s="13">
        <v>1.48E-6</v>
      </c>
      <c r="AC8" s="49">
        <v>304.60000000000002</v>
      </c>
      <c r="AD8" s="49">
        <f t="shared" si="0"/>
        <v>8.9952023173712323</v>
      </c>
      <c r="AE8" s="22">
        <v>0.06</v>
      </c>
      <c r="AF8" s="13">
        <f t="shared" si="1"/>
        <v>8.3999999999999998E-8</v>
      </c>
      <c r="AG8" s="13">
        <f t="shared" si="2"/>
        <v>8.34708E-12</v>
      </c>
      <c r="AH8" s="37" t="s">
        <v>172</v>
      </c>
      <c r="AI8" s="9">
        <f t="shared" si="3"/>
        <v>0.83060150375939845</v>
      </c>
      <c r="AJ8" s="9">
        <f t="shared" si="4"/>
        <v>8.986486486486486</v>
      </c>
      <c r="AK8" s="9">
        <f t="shared" si="5"/>
        <v>0.11127819548872181</v>
      </c>
      <c r="AL8" s="37"/>
      <c r="AM8" s="46" t="s">
        <v>140</v>
      </c>
    </row>
    <row r="9" spans="1:39" s="46" customFormat="1" x14ac:dyDescent="0.3">
      <c r="A9" s="18" t="s">
        <v>153</v>
      </c>
      <c r="B9" s="46" t="s">
        <v>20</v>
      </c>
      <c r="C9" s="18" t="s">
        <v>155</v>
      </c>
      <c r="D9" s="5" t="s">
        <v>43</v>
      </c>
      <c r="E9" s="5" t="s">
        <v>183</v>
      </c>
      <c r="F9" s="46" t="s">
        <v>39</v>
      </c>
      <c r="G9" s="46" t="s">
        <v>29</v>
      </c>
      <c r="H9" s="35">
        <v>-22.316700000000001</v>
      </c>
      <c r="I9" s="35">
        <v>166.83330000000001</v>
      </c>
      <c r="J9" s="31">
        <v>23.5</v>
      </c>
      <c r="K9" s="31">
        <v>9.9</v>
      </c>
      <c r="L9" s="32">
        <v>-180</v>
      </c>
      <c r="M9" s="32" t="s">
        <v>170</v>
      </c>
      <c r="N9" s="29">
        <v>0.1</v>
      </c>
      <c r="O9" s="29">
        <v>93.1</v>
      </c>
      <c r="P9" s="29">
        <v>5.0999999999999996</v>
      </c>
      <c r="Q9" s="29">
        <v>1.7</v>
      </c>
      <c r="R9" s="29" t="s">
        <v>170</v>
      </c>
      <c r="S9" s="7" t="s">
        <v>172</v>
      </c>
      <c r="T9" s="7" t="s">
        <v>172</v>
      </c>
      <c r="U9" s="59">
        <v>-30</v>
      </c>
      <c r="V9" s="23" t="s">
        <v>172</v>
      </c>
      <c r="W9" s="23" t="s">
        <v>172</v>
      </c>
      <c r="X9" s="30" t="s">
        <v>146</v>
      </c>
      <c r="Y9" s="14" t="s">
        <v>172</v>
      </c>
      <c r="Z9" s="14" t="s">
        <v>172</v>
      </c>
      <c r="AA9" s="14" t="s">
        <v>172</v>
      </c>
      <c r="AB9" s="14" t="s">
        <v>172</v>
      </c>
      <c r="AC9" s="48" t="s">
        <v>172</v>
      </c>
      <c r="AD9" s="23" t="s">
        <v>172</v>
      </c>
      <c r="AE9" s="23" t="s">
        <v>172</v>
      </c>
      <c r="AF9" s="7" t="s">
        <v>172</v>
      </c>
      <c r="AG9" s="7" t="s">
        <v>172</v>
      </c>
      <c r="AH9" s="37" t="s">
        <v>172</v>
      </c>
      <c r="AI9" s="37" t="s">
        <v>172</v>
      </c>
      <c r="AJ9" s="37" t="s">
        <v>172</v>
      </c>
      <c r="AK9" s="37" t="s">
        <v>172</v>
      </c>
      <c r="AL9" s="37"/>
      <c r="AM9" s="46" t="s">
        <v>140</v>
      </c>
    </row>
    <row r="10" spans="1:39" s="46" customFormat="1" x14ac:dyDescent="0.3">
      <c r="A10" s="18" t="s">
        <v>153</v>
      </c>
      <c r="B10" s="46" t="s">
        <v>21</v>
      </c>
      <c r="C10" s="18" t="s">
        <v>155</v>
      </c>
      <c r="D10" s="5" t="s">
        <v>43</v>
      </c>
      <c r="E10" s="5" t="s">
        <v>183</v>
      </c>
      <c r="F10" s="46" t="s">
        <v>40</v>
      </c>
      <c r="G10" s="46" t="s">
        <v>29</v>
      </c>
      <c r="H10" s="35">
        <v>-22.316700000000001</v>
      </c>
      <c r="I10" s="35">
        <v>166.83330000000001</v>
      </c>
      <c r="J10" s="31">
        <v>23.5</v>
      </c>
      <c r="K10" s="31">
        <v>10</v>
      </c>
      <c r="L10" s="32">
        <v>-210</v>
      </c>
      <c r="M10" s="32" t="s">
        <v>170</v>
      </c>
      <c r="N10" s="29" t="s">
        <v>170</v>
      </c>
      <c r="O10" s="29">
        <v>91.4</v>
      </c>
      <c r="P10" s="29">
        <v>8.5</v>
      </c>
      <c r="Q10" s="29">
        <v>0.1</v>
      </c>
      <c r="R10" s="29" t="s">
        <v>170</v>
      </c>
      <c r="S10" s="7" t="s">
        <v>172</v>
      </c>
      <c r="T10" s="7" t="s">
        <v>172</v>
      </c>
      <c r="U10" s="59">
        <v>-30</v>
      </c>
      <c r="V10" s="23" t="s">
        <v>172</v>
      </c>
      <c r="W10" s="23" t="s">
        <v>172</v>
      </c>
      <c r="X10" s="30" t="s">
        <v>147</v>
      </c>
      <c r="Y10" s="14" t="s">
        <v>172</v>
      </c>
      <c r="Z10" s="14" t="s">
        <v>172</v>
      </c>
      <c r="AA10" s="14" t="s">
        <v>172</v>
      </c>
      <c r="AB10" s="14" t="s">
        <v>172</v>
      </c>
      <c r="AC10" s="48" t="s">
        <v>172</v>
      </c>
      <c r="AD10" s="23" t="s">
        <v>172</v>
      </c>
      <c r="AE10" s="23" t="s">
        <v>172</v>
      </c>
      <c r="AF10" s="7" t="s">
        <v>172</v>
      </c>
      <c r="AG10" s="7" t="s">
        <v>172</v>
      </c>
      <c r="AH10" s="37" t="s">
        <v>172</v>
      </c>
      <c r="AI10" s="37" t="s">
        <v>172</v>
      </c>
      <c r="AJ10" s="37" t="s">
        <v>172</v>
      </c>
      <c r="AK10" s="37" t="s">
        <v>172</v>
      </c>
      <c r="AL10" s="37"/>
      <c r="AM10" s="46" t="s">
        <v>140</v>
      </c>
    </row>
    <row r="11" spans="1:39" s="46" customFormat="1" x14ac:dyDescent="0.3">
      <c r="A11" s="5" t="s">
        <v>44</v>
      </c>
      <c r="B11" s="6" t="s">
        <v>45</v>
      </c>
      <c r="C11" s="6" t="s">
        <v>45</v>
      </c>
      <c r="D11" s="5" t="s">
        <v>61</v>
      </c>
      <c r="E11" s="5" t="s">
        <v>181</v>
      </c>
      <c r="F11" s="46" t="s">
        <v>172</v>
      </c>
      <c r="G11" s="46" t="s">
        <v>172</v>
      </c>
      <c r="H11" s="35">
        <v>23.406099999999999</v>
      </c>
      <c r="I11" s="35">
        <v>56.863300000000002</v>
      </c>
      <c r="J11" s="31">
        <v>32</v>
      </c>
      <c r="K11" s="31">
        <v>11.7</v>
      </c>
      <c r="L11" s="32">
        <v>-225</v>
      </c>
      <c r="M11" s="32" t="s">
        <v>170</v>
      </c>
      <c r="N11" s="29">
        <v>87.3</v>
      </c>
      <c r="O11" s="29">
        <v>9.8000000000000007</v>
      </c>
      <c r="P11" s="29">
        <v>2.9</v>
      </c>
      <c r="Q11" s="29" t="s">
        <v>170</v>
      </c>
      <c r="R11" s="29" t="s">
        <v>170</v>
      </c>
      <c r="S11" s="7" t="s">
        <v>172</v>
      </c>
      <c r="T11" s="7" t="s">
        <v>172</v>
      </c>
      <c r="U11" s="41">
        <v>4.05</v>
      </c>
      <c r="V11" s="23" t="s">
        <v>172</v>
      </c>
      <c r="W11" s="23" t="s">
        <v>172</v>
      </c>
      <c r="X11" s="30" t="s">
        <v>63</v>
      </c>
      <c r="Y11" s="14" t="s">
        <v>172</v>
      </c>
      <c r="Z11" s="14" t="s">
        <v>172</v>
      </c>
      <c r="AA11" s="14" t="s">
        <v>172</v>
      </c>
      <c r="AB11" s="14" t="s">
        <v>172</v>
      </c>
      <c r="AC11" s="48" t="s">
        <v>172</v>
      </c>
      <c r="AD11" s="23" t="s">
        <v>172</v>
      </c>
      <c r="AE11" s="23" t="s">
        <v>172</v>
      </c>
      <c r="AF11" s="7" t="s">
        <v>172</v>
      </c>
      <c r="AG11" s="7" t="s">
        <v>172</v>
      </c>
      <c r="AH11" s="37" t="s">
        <v>172</v>
      </c>
      <c r="AI11" s="37" t="s">
        <v>172</v>
      </c>
      <c r="AJ11" s="37" t="s">
        <v>172</v>
      </c>
      <c r="AK11" s="37" t="s">
        <v>172</v>
      </c>
      <c r="AL11" s="37"/>
      <c r="AM11" s="46" t="s">
        <v>140</v>
      </c>
    </row>
    <row r="12" spans="1:39" s="46" customFormat="1" x14ac:dyDescent="0.3">
      <c r="A12" s="5" t="s">
        <v>44</v>
      </c>
      <c r="B12" s="6" t="s">
        <v>46</v>
      </c>
      <c r="C12" s="6" t="s">
        <v>46</v>
      </c>
      <c r="D12" s="5" t="s">
        <v>61</v>
      </c>
      <c r="E12" s="5" t="s">
        <v>181</v>
      </c>
      <c r="F12" s="46" t="s">
        <v>172</v>
      </c>
      <c r="G12" s="46" t="s">
        <v>172</v>
      </c>
      <c r="H12" s="35">
        <v>23.683299999999999</v>
      </c>
      <c r="I12" s="35">
        <v>56.939599999999999</v>
      </c>
      <c r="J12" s="31">
        <v>25.6</v>
      </c>
      <c r="K12" s="31">
        <v>11.3</v>
      </c>
      <c r="L12" s="32">
        <v>-244</v>
      </c>
      <c r="M12" s="32" t="s">
        <v>170</v>
      </c>
      <c r="N12" s="29">
        <v>85.9</v>
      </c>
      <c r="O12" s="29">
        <v>9.4</v>
      </c>
      <c r="P12" s="29">
        <v>4.5999999999999996</v>
      </c>
      <c r="Q12" s="29" t="s">
        <v>170</v>
      </c>
      <c r="R12" s="29" t="s">
        <v>170</v>
      </c>
      <c r="S12" s="8" t="s">
        <v>73</v>
      </c>
      <c r="T12" s="8" t="s">
        <v>94</v>
      </c>
      <c r="U12" s="41">
        <v>4.05</v>
      </c>
      <c r="V12" s="23" t="s">
        <v>172</v>
      </c>
      <c r="W12" s="23" t="s">
        <v>172</v>
      </c>
      <c r="X12" s="30" t="s">
        <v>64</v>
      </c>
      <c r="Y12" s="13">
        <v>1.8700000000000001E-6</v>
      </c>
      <c r="Z12" s="14" t="s">
        <v>172</v>
      </c>
      <c r="AA12" s="13">
        <v>6.7599999999999997E-6</v>
      </c>
      <c r="AB12" s="13">
        <v>1.9999999999999999E-7</v>
      </c>
      <c r="AC12" s="48" t="s">
        <v>172</v>
      </c>
      <c r="AD12" s="23" t="s">
        <v>172</v>
      </c>
      <c r="AE12" s="22">
        <v>0.77</v>
      </c>
      <c r="AF12" s="13">
        <f t="shared" si="1"/>
        <v>1.0779999999999999E-6</v>
      </c>
      <c r="AG12" s="13">
        <f t="shared" si="2"/>
        <v>2.0158599999999999E-12</v>
      </c>
      <c r="AH12" s="37" t="s">
        <v>172</v>
      </c>
      <c r="AI12" s="37" t="s">
        <v>172</v>
      </c>
      <c r="AJ12" s="9">
        <f t="shared" si="4"/>
        <v>33.799999999999997</v>
      </c>
      <c r="AK12" s="9">
        <f t="shared" si="5"/>
        <v>2.9585798816568049E-2</v>
      </c>
      <c r="AL12" s="37"/>
      <c r="AM12" s="46" t="s">
        <v>140</v>
      </c>
    </row>
    <row r="13" spans="1:39" s="46" customFormat="1" x14ac:dyDescent="0.3">
      <c r="A13" s="5" t="s">
        <v>44</v>
      </c>
      <c r="B13" s="6" t="s">
        <v>47</v>
      </c>
      <c r="C13" s="6" t="s">
        <v>156</v>
      </c>
      <c r="D13" s="5" t="s">
        <v>61</v>
      </c>
      <c r="E13" s="5" t="s">
        <v>181</v>
      </c>
      <c r="F13" s="46" t="s">
        <v>172</v>
      </c>
      <c r="G13" s="46" t="s">
        <v>172</v>
      </c>
      <c r="H13" s="35">
        <v>22.9922</v>
      </c>
      <c r="I13" s="35">
        <v>57.293199999999999</v>
      </c>
      <c r="J13" s="31">
        <v>35</v>
      </c>
      <c r="K13" s="31">
        <v>11.6</v>
      </c>
      <c r="L13" s="32">
        <v>-465</v>
      </c>
      <c r="M13" s="32" t="s">
        <v>170</v>
      </c>
      <c r="N13" s="29">
        <v>85.7</v>
      </c>
      <c r="O13" s="29">
        <v>12.4</v>
      </c>
      <c r="P13" s="29">
        <v>1.9</v>
      </c>
      <c r="Q13" s="29" t="s">
        <v>170</v>
      </c>
      <c r="R13" s="29" t="s">
        <v>170</v>
      </c>
      <c r="S13" s="8" t="s">
        <v>74</v>
      </c>
      <c r="T13" s="8" t="s">
        <v>95</v>
      </c>
      <c r="U13" s="41">
        <v>4.05</v>
      </c>
      <c r="V13" s="23" t="s">
        <v>172</v>
      </c>
      <c r="W13" s="23" t="s">
        <v>172</v>
      </c>
      <c r="X13" s="30" t="s">
        <v>65</v>
      </c>
      <c r="Y13" s="13">
        <v>2.4999999999999998E-6</v>
      </c>
      <c r="Z13" s="13">
        <v>3.6869999999999996E-6</v>
      </c>
      <c r="AA13" s="13">
        <v>1.5189999999999999E-5</v>
      </c>
      <c r="AB13" s="13">
        <v>3.7999999999999996E-7</v>
      </c>
      <c r="AC13" s="48" t="s">
        <v>172</v>
      </c>
      <c r="AD13" s="49">
        <f t="shared" si="0"/>
        <v>0.67805804176837536</v>
      </c>
      <c r="AE13" s="22">
        <v>0.37</v>
      </c>
      <c r="AF13" s="13">
        <f t="shared" si="1"/>
        <v>5.1799999999999995E-7</v>
      </c>
      <c r="AG13" s="13">
        <f t="shared" si="2"/>
        <v>1.2949999999999998E-12</v>
      </c>
      <c r="AH13" s="37" t="s">
        <v>172</v>
      </c>
      <c r="AI13" s="9">
        <f t="shared" si="3"/>
        <v>0.24272547728768926</v>
      </c>
      <c r="AJ13" s="9">
        <f t="shared" si="4"/>
        <v>39.973684210526315</v>
      </c>
      <c r="AK13" s="9">
        <f t="shared" si="5"/>
        <v>2.5016458196181698E-2</v>
      </c>
      <c r="AL13" s="37"/>
      <c r="AM13" s="46" t="s">
        <v>140</v>
      </c>
    </row>
    <row r="14" spans="1:39" s="46" customFormat="1" x14ac:dyDescent="0.3">
      <c r="A14" s="5" t="s">
        <v>44</v>
      </c>
      <c r="B14" s="6" t="s">
        <v>48</v>
      </c>
      <c r="C14" s="6" t="s">
        <v>157</v>
      </c>
      <c r="D14" s="5" t="s">
        <v>61</v>
      </c>
      <c r="E14" s="5" t="s">
        <v>181</v>
      </c>
      <c r="F14" s="46" t="s">
        <v>172</v>
      </c>
      <c r="G14" s="46" t="s">
        <v>172</v>
      </c>
      <c r="H14" s="35">
        <v>22.9922</v>
      </c>
      <c r="I14" s="35">
        <v>57.293199999999999</v>
      </c>
      <c r="J14" s="31">
        <v>34.9</v>
      </c>
      <c r="K14" s="31">
        <v>11.4</v>
      </c>
      <c r="L14" s="32">
        <v>-780</v>
      </c>
      <c r="M14" s="32" t="s">
        <v>172</v>
      </c>
      <c r="N14" s="29" t="s">
        <v>172</v>
      </c>
      <c r="O14" s="29" t="s">
        <v>172</v>
      </c>
      <c r="P14" s="29" t="s">
        <v>172</v>
      </c>
      <c r="Q14" s="29" t="s">
        <v>172</v>
      </c>
      <c r="R14" s="29" t="s">
        <v>172</v>
      </c>
      <c r="S14" s="8" t="s">
        <v>75</v>
      </c>
      <c r="T14" s="8" t="s">
        <v>96</v>
      </c>
      <c r="U14" s="41">
        <v>4.05</v>
      </c>
      <c r="V14" s="23" t="s">
        <v>172</v>
      </c>
      <c r="W14" s="23" t="s">
        <v>172</v>
      </c>
      <c r="X14" s="23" t="s">
        <v>172</v>
      </c>
      <c r="Y14" s="13">
        <v>2.0800000000000001E-5</v>
      </c>
      <c r="Z14" s="13">
        <v>2.2399999999999999E-7</v>
      </c>
      <c r="AA14" s="13">
        <v>7.7800000000000001E-6</v>
      </c>
      <c r="AB14" s="13">
        <v>2.3999999999999998E-7</v>
      </c>
      <c r="AC14" s="48" t="s">
        <v>172</v>
      </c>
      <c r="AD14" s="49">
        <f t="shared" si="0"/>
        <v>92.857142857142861</v>
      </c>
      <c r="AE14" s="22">
        <v>0.17</v>
      </c>
      <c r="AF14" s="13">
        <f t="shared" si="1"/>
        <v>2.3800000000000001E-7</v>
      </c>
      <c r="AG14" s="13">
        <f t="shared" si="2"/>
        <v>4.9504000000000004E-12</v>
      </c>
      <c r="AH14" s="37" t="s">
        <v>172</v>
      </c>
      <c r="AI14" s="9">
        <f t="shared" si="3"/>
        <v>2.8791773778920306E-2</v>
      </c>
      <c r="AJ14" s="9">
        <f t="shared" si="4"/>
        <v>32.416666666666671</v>
      </c>
      <c r="AK14" s="9">
        <f t="shared" si="5"/>
        <v>3.0848329048843184E-2</v>
      </c>
      <c r="AL14" s="37"/>
      <c r="AM14" s="46" t="s">
        <v>140</v>
      </c>
    </row>
    <row r="15" spans="1:39" s="46" customFormat="1" x14ac:dyDescent="0.3">
      <c r="A15" s="5" t="s">
        <v>44</v>
      </c>
      <c r="B15" s="6" t="s">
        <v>49</v>
      </c>
      <c r="C15" s="6" t="s">
        <v>49</v>
      </c>
      <c r="D15" s="5" t="s">
        <v>61</v>
      </c>
      <c r="E15" s="5" t="s">
        <v>181</v>
      </c>
      <c r="F15" s="46" t="s">
        <v>172</v>
      </c>
      <c r="G15" s="46" t="s">
        <v>172</v>
      </c>
      <c r="H15" s="35">
        <v>22.9922</v>
      </c>
      <c r="I15" s="35">
        <v>57.293199999999999</v>
      </c>
      <c r="J15" s="31">
        <v>34.9</v>
      </c>
      <c r="K15" s="31">
        <v>11.3</v>
      </c>
      <c r="L15" s="32">
        <v>-447</v>
      </c>
      <c r="M15" s="32" t="s">
        <v>170</v>
      </c>
      <c r="N15" s="29">
        <v>85.7</v>
      </c>
      <c r="O15" s="29">
        <v>12</v>
      </c>
      <c r="P15" s="29">
        <v>2.2000000000000002</v>
      </c>
      <c r="Q15" s="29" t="s">
        <v>170</v>
      </c>
      <c r="R15" s="29">
        <v>0.02</v>
      </c>
      <c r="S15" s="8" t="s">
        <v>76</v>
      </c>
      <c r="T15" s="8" t="s">
        <v>97</v>
      </c>
      <c r="U15" s="41">
        <v>4.05</v>
      </c>
      <c r="V15" s="23" t="s">
        <v>172</v>
      </c>
      <c r="W15" s="23" t="s">
        <v>172</v>
      </c>
      <c r="X15" s="23" t="s">
        <v>172</v>
      </c>
      <c r="Y15" s="13">
        <v>1.1599999999999999E-6</v>
      </c>
      <c r="Z15" s="13">
        <v>8.639999999999999E-7</v>
      </c>
      <c r="AA15" s="13">
        <v>8.8000000000000004E-6</v>
      </c>
      <c r="AB15" s="13">
        <v>2.4999999999999999E-7</v>
      </c>
      <c r="AC15" s="48" t="s">
        <v>172</v>
      </c>
      <c r="AD15" s="49">
        <f t="shared" si="0"/>
        <v>1.3425925925925926</v>
      </c>
      <c r="AE15" s="22">
        <v>0.93</v>
      </c>
      <c r="AF15" s="13">
        <f t="shared" si="1"/>
        <v>1.302E-6</v>
      </c>
      <c r="AG15" s="13">
        <f t="shared" si="2"/>
        <v>1.5103199999999998E-12</v>
      </c>
      <c r="AH15" s="37" t="s">
        <v>172</v>
      </c>
      <c r="AI15" s="9">
        <f t="shared" si="3"/>
        <v>9.8181818181818162E-2</v>
      </c>
      <c r="AJ15" s="9">
        <f t="shared" si="4"/>
        <v>35.200000000000003</v>
      </c>
      <c r="AK15" s="9">
        <f t="shared" si="5"/>
        <v>2.8409090909090905E-2</v>
      </c>
      <c r="AL15" s="37"/>
      <c r="AM15" s="46" t="s">
        <v>140</v>
      </c>
    </row>
    <row r="16" spans="1:39" s="46" customFormat="1" x14ac:dyDescent="0.3">
      <c r="A16" s="5" t="s">
        <v>44</v>
      </c>
      <c r="B16" s="6" t="s">
        <v>50</v>
      </c>
      <c r="C16" s="6" t="s">
        <v>50</v>
      </c>
      <c r="D16" s="5" t="s">
        <v>61</v>
      </c>
      <c r="E16" s="5" t="s">
        <v>181</v>
      </c>
      <c r="F16" s="46" t="s">
        <v>172</v>
      </c>
      <c r="G16" s="46" t="s">
        <v>172</v>
      </c>
      <c r="H16" s="35">
        <v>23.9588</v>
      </c>
      <c r="I16" s="35">
        <v>56.44</v>
      </c>
      <c r="J16" s="31">
        <v>22.5</v>
      </c>
      <c r="K16" s="31">
        <v>9.5</v>
      </c>
      <c r="L16" s="32">
        <v>-80</v>
      </c>
      <c r="M16" s="32" t="s">
        <v>170</v>
      </c>
      <c r="N16" s="29">
        <v>85.4</v>
      </c>
      <c r="O16" s="29">
        <v>14.5</v>
      </c>
      <c r="P16" s="29">
        <v>0.1</v>
      </c>
      <c r="Q16" s="29" t="s">
        <v>170</v>
      </c>
      <c r="R16" s="29" t="s">
        <v>170</v>
      </c>
      <c r="S16" s="29" t="s">
        <v>172</v>
      </c>
      <c r="T16" s="8" t="s">
        <v>98</v>
      </c>
      <c r="U16" s="41">
        <v>4.05</v>
      </c>
      <c r="V16" s="23" t="s">
        <v>172</v>
      </c>
      <c r="W16" s="23" t="s">
        <v>172</v>
      </c>
      <c r="X16" s="30" t="s">
        <v>66</v>
      </c>
      <c r="Y16" s="13">
        <v>2.7E-6</v>
      </c>
      <c r="Z16" s="13">
        <v>3.676E-6</v>
      </c>
      <c r="AA16" s="13">
        <v>1.5359999999999999E-5</v>
      </c>
      <c r="AB16" s="13">
        <v>4.2999999999999996E-7</v>
      </c>
      <c r="AC16" s="48" t="s">
        <v>172</v>
      </c>
      <c r="AD16" s="49">
        <f t="shared" si="0"/>
        <v>0.73449401523394997</v>
      </c>
      <c r="AE16" s="22">
        <v>0.41</v>
      </c>
      <c r="AF16" s="13">
        <f t="shared" si="1"/>
        <v>5.7399999999999993E-7</v>
      </c>
      <c r="AG16" s="13">
        <f t="shared" si="2"/>
        <v>1.5497999999999997E-12</v>
      </c>
      <c r="AH16" s="37" t="s">
        <v>172</v>
      </c>
      <c r="AI16" s="9">
        <f t="shared" si="3"/>
        <v>0.23932291666666669</v>
      </c>
      <c r="AJ16" s="9">
        <f t="shared" si="4"/>
        <v>35.720930232558139</v>
      </c>
      <c r="AK16" s="9">
        <f t="shared" si="5"/>
        <v>2.7994791666666668E-2</v>
      </c>
      <c r="AL16" s="37"/>
      <c r="AM16" s="46" t="s">
        <v>140</v>
      </c>
    </row>
    <row r="17" spans="1:39" s="46" customFormat="1" x14ac:dyDescent="0.3">
      <c r="A17" s="5" t="s">
        <v>44</v>
      </c>
      <c r="B17" s="6" t="s">
        <v>51</v>
      </c>
      <c r="C17" s="6" t="s">
        <v>158</v>
      </c>
      <c r="D17" s="5" t="s">
        <v>61</v>
      </c>
      <c r="E17" s="5" t="s">
        <v>181</v>
      </c>
      <c r="F17" s="46" t="s">
        <v>172</v>
      </c>
      <c r="G17" s="46" t="s">
        <v>172</v>
      </c>
      <c r="H17" s="35">
        <v>23.619900000000001</v>
      </c>
      <c r="I17" s="35">
        <v>57.113199999999999</v>
      </c>
      <c r="J17" s="31">
        <v>28.2</v>
      </c>
      <c r="K17" s="31">
        <v>11.5</v>
      </c>
      <c r="L17" s="32">
        <v>-348</v>
      </c>
      <c r="M17" s="32" t="s">
        <v>170</v>
      </c>
      <c r="N17" s="29">
        <v>77</v>
      </c>
      <c r="O17" s="29">
        <v>14.2</v>
      </c>
      <c r="P17" s="29">
        <v>8.8000000000000007</v>
      </c>
      <c r="Q17" s="29" t="s">
        <v>170</v>
      </c>
      <c r="R17" s="29" t="s">
        <v>170</v>
      </c>
      <c r="S17" s="8" t="s">
        <v>77</v>
      </c>
      <c r="T17" s="8" t="s">
        <v>99</v>
      </c>
      <c r="U17" s="41">
        <v>4.05</v>
      </c>
      <c r="V17" s="23" t="s">
        <v>172</v>
      </c>
      <c r="W17" s="23" t="s">
        <v>172</v>
      </c>
      <c r="X17" s="22">
        <v>4</v>
      </c>
      <c r="Y17" s="13">
        <v>9.4299999999999995E-6</v>
      </c>
      <c r="Z17" s="13">
        <v>3.7999999999999996E-6</v>
      </c>
      <c r="AA17" s="13">
        <v>1.1409999999999999E-5</v>
      </c>
      <c r="AB17" s="13">
        <v>2.3999999999999998E-7</v>
      </c>
      <c r="AC17" s="48" t="s">
        <v>172</v>
      </c>
      <c r="AD17" s="49">
        <f t="shared" si="0"/>
        <v>2.4815789473684213</v>
      </c>
      <c r="AE17" s="22">
        <v>0.21</v>
      </c>
      <c r="AF17" s="13">
        <f t="shared" si="1"/>
        <v>2.9399999999999996E-7</v>
      </c>
      <c r="AG17" s="13">
        <f t="shared" si="2"/>
        <v>2.7724199999999996E-12</v>
      </c>
      <c r="AH17" s="37" t="s">
        <v>172</v>
      </c>
      <c r="AI17" s="9">
        <f t="shared" si="3"/>
        <v>0.33304119193689746</v>
      </c>
      <c r="AJ17" s="9">
        <f t="shared" si="4"/>
        <v>47.541666666666664</v>
      </c>
      <c r="AK17" s="9">
        <f t="shared" si="5"/>
        <v>2.1034180543382998E-2</v>
      </c>
      <c r="AL17" s="37"/>
      <c r="AM17" s="46" t="s">
        <v>140</v>
      </c>
    </row>
    <row r="18" spans="1:39" s="46" customFormat="1" x14ac:dyDescent="0.3">
      <c r="A18" s="5" t="s">
        <v>44</v>
      </c>
      <c r="B18" s="6" t="s">
        <v>52</v>
      </c>
      <c r="C18" s="6" t="s">
        <v>159</v>
      </c>
      <c r="D18" s="5" t="s">
        <v>61</v>
      </c>
      <c r="E18" s="5" t="s">
        <v>181</v>
      </c>
      <c r="F18" s="46" t="s">
        <v>172</v>
      </c>
      <c r="G18" s="46" t="s">
        <v>172</v>
      </c>
      <c r="H18" s="35">
        <v>23.627500000000001</v>
      </c>
      <c r="I18" s="35">
        <v>57.115200000000002</v>
      </c>
      <c r="J18" s="31" t="s">
        <v>172</v>
      </c>
      <c r="K18" s="31" t="s">
        <v>172</v>
      </c>
      <c r="L18" s="32" t="s">
        <v>172</v>
      </c>
      <c r="M18" s="32" t="s">
        <v>170</v>
      </c>
      <c r="N18" s="29">
        <v>75</v>
      </c>
      <c r="O18" s="29">
        <v>15.4</v>
      </c>
      <c r="P18" s="29">
        <v>9.6</v>
      </c>
      <c r="Q18" s="29" t="s">
        <v>170</v>
      </c>
      <c r="R18" s="29" t="s">
        <v>170</v>
      </c>
      <c r="S18" s="8" t="s">
        <v>78</v>
      </c>
      <c r="T18" s="8" t="s">
        <v>100</v>
      </c>
      <c r="U18" s="41">
        <v>4.05</v>
      </c>
      <c r="V18" s="23" t="s">
        <v>172</v>
      </c>
      <c r="W18" s="23" t="s">
        <v>172</v>
      </c>
      <c r="X18" s="22">
        <v>3.9</v>
      </c>
      <c r="Y18" s="13">
        <v>9.5999999999999991E-7</v>
      </c>
      <c r="Z18" s="13">
        <v>1.5519999999999999E-6</v>
      </c>
      <c r="AA18" s="13">
        <v>9.2799999999999992E-6</v>
      </c>
      <c r="AB18" s="13">
        <v>2.2999999999999999E-7</v>
      </c>
      <c r="AC18" s="48" t="s">
        <v>172</v>
      </c>
      <c r="AD18" s="49">
        <f>Y18/Z18</f>
        <v>0.61855670103092786</v>
      </c>
      <c r="AE18" s="22">
        <v>0.84</v>
      </c>
      <c r="AF18" s="13">
        <f t="shared" si="1"/>
        <v>1.1759999999999998E-6</v>
      </c>
      <c r="AG18" s="13">
        <f t="shared" si="2"/>
        <v>1.1289599999999997E-12</v>
      </c>
      <c r="AH18" s="37" t="s">
        <v>172</v>
      </c>
      <c r="AI18" s="9">
        <f t="shared" si="3"/>
        <v>0.16724137931034483</v>
      </c>
      <c r="AJ18" s="9">
        <f t="shared" si="4"/>
        <v>40.347826086956516</v>
      </c>
      <c r="AK18" s="9">
        <f t="shared" si="5"/>
        <v>2.4784482758620691E-2</v>
      </c>
      <c r="AL18" s="37"/>
      <c r="AM18" s="46" t="s">
        <v>140</v>
      </c>
    </row>
    <row r="19" spans="1:39" s="46" customFormat="1" x14ac:dyDescent="0.3">
      <c r="A19" s="5" t="s">
        <v>44</v>
      </c>
      <c r="B19" s="6" t="s">
        <v>53</v>
      </c>
      <c r="C19" s="6" t="s">
        <v>160</v>
      </c>
      <c r="D19" s="5" t="s">
        <v>61</v>
      </c>
      <c r="E19" s="5" t="s">
        <v>181</v>
      </c>
      <c r="F19" s="46" t="s">
        <v>172</v>
      </c>
      <c r="G19" s="46" t="s">
        <v>172</v>
      </c>
      <c r="H19" s="35">
        <v>23.627500000000001</v>
      </c>
      <c r="I19" s="35">
        <v>57.115200000000002</v>
      </c>
      <c r="J19" s="31" t="s">
        <v>172</v>
      </c>
      <c r="K19" s="31" t="s">
        <v>172</v>
      </c>
      <c r="L19" s="32" t="s">
        <v>172</v>
      </c>
      <c r="M19" s="32" t="s">
        <v>172</v>
      </c>
      <c r="N19" s="29" t="s">
        <v>172</v>
      </c>
      <c r="O19" s="29" t="s">
        <v>172</v>
      </c>
      <c r="P19" s="29" t="s">
        <v>172</v>
      </c>
      <c r="Q19" s="29" t="s">
        <v>172</v>
      </c>
      <c r="R19" s="29" t="s">
        <v>172</v>
      </c>
      <c r="S19" s="29" t="s">
        <v>172</v>
      </c>
      <c r="T19" s="29" t="s">
        <v>172</v>
      </c>
      <c r="U19" s="41">
        <v>4.05</v>
      </c>
      <c r="V19" s="23" t="s">
        <v>172</v>
      </c>
      <c r="W19" s="23" t="s">
        <v>172</v>
      </c>
      <c r="X19" s="23" t="s">
        <v>172</v>
      </c>
      <c r="Y19" s="13">
        <v>1.31E-6</v>
      </c>
      <c r="Z19" s="13">
        <v>2.819E-6</v>
      </c>
      <c r="AA19" s="13">
        <v>8.3299999999999999E-6</v>
      </c>
      <c r="AB19" s="13">
        <v>2.1999999999999998E-7</v>
      </c>
      <c r="AC19" s="48" t="s">
        <v>172</v>
      </c>
      <c r="AD19" s="49">
        <f t="shared" si="0"/>
        <v>0.4647037956722242</v>
      </c>
      <c r="AE19" s="22">
        <v>0.77</v>
      </c>
      <c r="AF19" s="13">
        <f t="shared" si="1"/>
        <v>1.0779999999999999E-6</v>
      </c>
      <c r="AG19" s="13">
        <f t="shared" si="2"/>
        <v>1.4121799999999997E-12</v>
      </c>
      <c r="AH19" s="37" t="s">
        <v>172</v>
      </c>
      <c r="AI19" s="9">
        <f t="shared" si="3"/>
        <v>0.33841536614645862</v>
      </c>
      <c r="AJ19" s="9">
        <f t="shared" si="4"/>
        <v>37.863636363636367</v>
      </c>
      <c r="AK19" s="9">
        <f t="shared" si="5"/>
        <v>2.6410564225690273E-2</v>
      </c>
      <c r="AL19" s="37"/>
      <c r="AM19" s="46" t="s">
        <v>140</v>
      </c>
    </row>
    <row r="20" spans="1:39" s="46" customFormat="1" x14ac:dyDescent="0.3">
      <c r="A20" s="5" t="s">
        <v>44</v>
      </c>
      <c r="B20" s="6" t="s">
        <v>54</v>
      </c>
      <c r="C20" s="6" t="s">
        <v>161</v>
      </c>
      <c r="D20" s="5" t="s">
        <v>61</v>
      </c>
      <c r="E20" s="5" t="s">
        <v>181</v>
      </c>
      <c r="F20" s="46" t="s">
        <v>172</v>
      </c>
      <c r="G20" s="46" t="s">
        <v>172</v>
      </c>
      <c r="H20" s="35">
        <v>23.617999999999999</v>
      </c>
      <c r="I20" s="35">
        <v>57.106400000000001</v>
      </c>
      <c r="J20" s="31" t="s">
        <v>172</v>
      </c>
      <c r="K20" s="31" t="s">
        <v>172</v>
      </c>
      <c r="L20" s="32" t="s">
        <v>172</v>
      </c>
      <c r="M20" s="32" t="s">
        <v>170</v>
      </c>
      <c r="N20" s="29">
        <v>77.8</v>
      </c>
      <c r="O20" s="29">
        <v>18.100000000000001</v>
      </c>
      <c r="P20" s="29">
        <v>4</v>
      </c>
      <c r="Q20" s="29">
        <v>0.05</v>
      </c>
      <c r="R20" s="29">
        <v>0.05</v>
      </c>
      <c r="S20" s="8" t="s">
        <v>79</v>
      </c>
      <c r="T20" s="8" t="s">
        <v>101</v>
      </c>
      <c r="U20" s="41">
        <v>4.05</v>
      </c>
      <c r="V20" s="23" t="s">
        <v>172</v>
      </c>
      <c r="W20" s="23" t="s">
        <v>172</v>
      </c>
      <c r="X20" s="23" t="s">
        <v>172</v>
      </c>
      <c r="Y20" s="13">
        <v>9.9000000000000005E-7</v>
      </c>
      <c r="Z20" s="13">
        <v>3.0680000000000001E-6</v>
      </c>
      <c r="AA20" s="13">
        <v>1.0909999999999999E-5</v>
      </c>
      <c r="AB20" s="13">
        <v>2.8999999999999998E-7</v>
      </c>
      <c r="AC20" s="48" t="s">
        <v>172</v>
      </c>
      <c r="AD20" s="49">
        <f t="shared" si="0"/>
        <v>0.32268578878748372</v>
      </c>
      <c r="AE20" s="22">
        <v>1.05</v>
      </c>
      <c r="AF20" s="13">
        <f t="shared" si="1"/>
        <v>1.4699999999999999E-6</v>
      </c>
      <c r="AG20" s="13">
        <f t="shared" si="2"/>
        <v>1.4553000000000001E-12</v>
      </c>
      <c r="AH20" s="38">
        <f t="shared" ref="AH20:AH32" si="6">Q20/AG20</f>
        <v>34357177214.320072</v>
      </c>
      <c r="AI20" s="9">
        <f t="shared" si="3"/>
        <v>0.28120989917506878</v>
      </c>
      <c r="AJ20" s="9">
        <f t="shared" si="4"/>
        <v>37.620689655172413</v>
      </c>
      <c r="AK20" s="9">
        <f t="shared" si="5"/>
        <v>2.6581118240146653E-2</v>
      </c>
      <c r="AL20" s="38"/>
      <c r="AM20" s="46" t="s">
        <v>140</v>
      </c>
    </row>
    <row r="21" spans="1:39" s="46" customFormat="1" x14ac:dyDescent="0.3">
      <c r="A21" s="5" t="s">
        <v>44</v>
      </c>
      <c r="B21" s="6" t="s">
        <v>55</v>
      </c>
      <c r="C21" s="6" t="s">
        <v>162</v>
      </c>
      <c r="D21" s="5" t="s">
        <v>61</v>
      </c>
      <c r="E21" s="5" t="s">
        <v>181</v>
      </c>
      <c r="F21" s="46" t="s">
        <v>172</v>
      </c>
      <c r="G21" s="46" t="s">
        <v>172</v>
      </c>
      <c r="H21" s="35">
        <v>23.618099999999998</v>
      </c>
      <c r="I21" s="35">
        <v>57.107799999999997</v>
      </c>
      <c r="J21" s="31" t="s">
        <v>172</v>
      </c>
      <c r="K21" s="31" t="s">
        <v>172</v>
      </c>
      <c r="L21" s="32" t="s">
        <v>172</v>
      </c>
      <c r="M21" s="32" t="s">
        <v>170</v>
      </c>
      <c r="N21" s="29">
        <v>79.400000000000006</v>
      </c>
      <c r="O21" s="29">
        <v>16</v>
      </c>
      <c r="P21" s="29">
        <v>4.5999999999999996</v>
      </c>
      <c r="Q21" s="29" t="s">
        <v>170</v>
      </c>
      <c r="R21" s="29">
        <v>0.01</v>
      </c>
      <c r="S21" s="8" t="s">
        <v>79</v>
      </c>
      <c r="T21" s="8" t="s">
        <v>102</v>
      </c>
      <c r="U21" s="41">
        <v>4.05</v>
      </c>
      <c r="V21" s="23" t="s">
        <v>172</v>
      </c>
      <c r="W21" s="23" t="s">
        <v>172</v>
      </c>
      <c r="X21" s="23" t="s">
        <v>172</v>
      </c>
      <c r="Y21" s="13">
        <v>6.4000000000000001E-7</v>
      </c>
      <c r="Z21" s="13">
        <v>2.0789999999999999E-6</v>
      </c>
      <c r="AA21" s="13">
        <v>8.4499999999999987E-6</v>
      </c>
      <c r="AB21" s="13">
        <v>2.1999999999999998E-7</v>
      </c>
      <c r="AC21" s="48" t="s">
        <v>172</v>
      </c>
      <c r="AD21" s="49">
        <f t="shared" si="0"/>
        <v>0.30784030784030786</v>
      </c>
      <c r="AE21" s="22">
        <v>0.95</v>
      </c>
      <c r="AF21" s="13">
        <f t="shared" si="1"/>
        <v>1.33E-6</v>
      </c>
      <c r="AG21" s="13">
        <f t="shared" si="2"/>
        <v>8.5120000000000005E-13</v>
      </c>
      <c r="AH21" s="37" t="s">
        <v>172</v>
      </c>
      <c r="AI21" s="9">
        <f t="shared" si="3"/>
        <v>0.2460355029585799</v>
      </c>
      <c r="AJ21" s="9">
        <f t="shared" si="4"/>
        <v>38.409090909090907</v>
      </c>
      <c r="AK21" s="9">
        <f t="shared" si="5"/>
        <v>2.6035502958579884E-2</v>
      </c>
      <c r="AL21" s="37"/>
      <c r="AM21" s="46" t="s">
        <v>140</v>
      </c>
    </row>
    <row r="22" spans="1:39" s="46" customFormat="1" x14ac:dyDescent="0.3">
      <c r="A22" s="5" t="s">
        <v>44</v>
      </c>
      <c r="B22" s="6" t="s">
        <v>56</v>
      </c>
      <c r="C22" s="6" t="s">
        <v>56</v>
      </c>
      <c r="D22" s="5" t="s">
        <v>61</v>
      </c>
      <c r="E22" s="5" t="s">
        <v>181</v>
      </c>
      <c r="F22" s="46" t="s">
        <v>172</v>
      </c>
      <c r="G22" s="46" t="s">
        <v>172</v>
      </c>
      <c r="H22" s="35">
        <v>24.328199999999999</v>
      </c>
      <c r="I22" s="35">
        <v>56.130699999999997</v>
      </c>
      <c r="J22" s="31">
        <v>24.7</v>
      </c>
      <c r="K22" s="31">
        <v>10.199999999999999</v>
      </c>
      <c r="L22" s="32">
        <v>-191</v>
      </c>
      <c r="M22" s="32" t="s">
        <v>170</v>
      </c>
      <c r="N22" s="29">
        <v>75.2</v>
      </c>
      <c r="O22" s="29">
        <v>14.9</v>
      </c>
      <c r="P22" s="29">
        <v>10</v>
      </c>
      <c r="Q22" s="29" t="s">
        <v>170</v>
      </c>
      <c r="R22" s="29" t="s">
        <v>170</v>
      </c>
      <c r="S22" s="8" t="s">
        <v>80</v>
      </c>
      <c r="T22" s="8" t="s">
        <v>103</v>
      </c>
      <c r="U22" s="41">
        <v>4.05</v>
      </c>
      <c r="V22" s="23" t="s">
        <v>172</v>
      </c>
      <c r="W22" s="23" t="s">
        <v>172</v>
      </c>
      <c r="X22" s="30" t="s">
        <v>67</v>
      </c>
      <c r="Y22" s="13">
        <v>1.5269999999999998E-5</v>
      </c>
      <c r="Z22" s="13">
        <v>1.26E-6</v>
      </c>
      <c r="AA22" s="13">
        <v>4.9099999999999996E-6</v>
      </c>
      <c r="AB22" s="13">
        <v>1.8E-7</v>
      </c>
      <c r="AC22" s="48" t="s">
        <v>172</v>
      </c>
      <c r="AD22" s="49">
        <f t="shared" si="0"/>
        <v>12.119047619047617</v>
      </c>
      <c r="AE22" s="22">
        <v>0.43</v>
      </c>
      <c r="AF22" s="13">
        <f t="shared" si="1"/>
        <v>6.0199999999999991E-7</v>
      </c>
      <c r="AG22" s="13">
        <f t="shared" si="2"/>
        <v>9.1925399999999971E-12</v>
      </c>
      <c r="AH22" s="37" t="s">
        <v>172</v>
      </c>
      <c r="AI22" s="9">
        <f t="shared" si="3"/>
        <v>0.25661914460285135</v>
      </c>
      <c r="AJ22" s="9">
        <f t="shared" si="4"/>
        <v>27.277777777777775</v>
      </c>
      <c r="AK22" s="9">
        <f t="shared" si="5"/>
        <v>3.6659877800407331E-2</v>
      </c>
      <c r="AL22" s="37"/>
      <c r="AM22" s="46" t="s">
        <v>140</v>
      </c>
    </row>
    <row r="23" spans="1:39" s="46" customFormat="1" x14ac:dyDescent="0.3">
      <c r="A23" s="5" t="s">
        <v>44</v>
      </c>
      <c r="B23" s="6" t="s">
        <v>57</v>
      </c>
      <c r="C23" s="6" t="s">
        <v>57</v>
      </c>
      <c r="D23" s="5" t="s">
        <v>61</v>
      </c>
      <c r="E23" s="5" t="s">
        <v>181</v>
      </c>
      <c r="F23" s="46" t="s">
        <v>172</v>
      </c>
      <c r="G23" s="46" t="s">
        <v>172</v>
      </c>
      <c r="H23" s="35">
        <v>23.717199999999998</v>
      </c>
      <c r="I23" s="35">
        <v>57.033999999999999</v>
      </c>
      <c r="J23" s="31">
        <v>27.7</v>
      </c>
      <c r="K23" s="31">
        <v>8.6999999999999993</v>
      </c>
      <c r="L23" s="32">
        <v>-175</v>
      </c>
      <c r="M23" s="32" t="s">
        <v>170</v>
      </c>
      <c r="N23" s="29">
        <v>73.400000000000006</v>
      </c>
      <c r="O23" s="29">
        <v>20.8</v>
      </c>
      <c r="P23" s="29">
        <v>5.8</v>
      </c>
      <c r="Q23" s="29" t="s">
        <v>170</v>
      </c>
      <c r="R23" s="29" t="s">
        <v>170</v>
      </c>
      <c r="S23" s="8" t="s">
        <v>81</v>
      </c>
      <c r="T23" s="8" t="s">
        <v>104</v>
      </c>
      <c r="U23" s="41">
        <v>4.05</v>
      </c>
      <c r="V23" s="23" t="s">
        <v>172</v>
      </c>
      <c r="W23" s="23" t="s">
        <v>172</v>
      </c>
      <c r="X23" s="30" t="s">
        <v>68</v>
      </c>
      <c r="Y23" s="13">
        <v>1.5E-6</v>
      </c>
      <c r="Z23" s="13">
        <v>5.1639999999999992E-6</v>
      </c>
      <c r="AA23" s="13">
        <v>6.0499999999999997E-6</v>
      </c>
      <c r="AB23" s="13">
        <v>1.1999999999999999E-7</v>
      </c>
      <c r="AC23" s="48" t="s">
        <v>172</v>
      </c>
      <c r="AD23" s="49">
        <f t="shared" si="0"/>
        <v>0.29047250193648338</v>
      </c>
      <c r="AE23" s="22">
        <v>0.62</v>
      </c>
      <c r="AF23" s="13">
        <f t="shared" si="1"/>
        <v>8.6799999999999999E-7</v>
      </c>
      <c r="AG23" s="13">
        <f t="shared" si="2"/>
        <v>1.3020000000000001E-12</v>
      </c>
      <c r="AH23" s="37" t="s">
        <v>172</v>
      </c>
      <c r="AI23" s="9">
        <f t="shared" si="3"/>
        <v>0.85355371900826438</v>
      </c>
      <c r="AJ23" s="9">
        <f t="shared" si="4"/>
        <v>50.416666666666671</v>
      </c>
      <c r="AK23" s="9">
        <f t="shared" si="5"/>
        <v>1.9834710743801651E-2</v>
      </c>
      <c r="AL23" s="37"/>
      <c r="AM23" s="46" t="s">
        <v>140</v>
      </c>
    </row>
    <row r="24" spans="1:39" s="46" customFormat="1" x14ac:dyDescent="0.3">
      <c r="A24" s="5" t="s">
        <v>44</v>
      </c>
      <c r="B24" s="6" t="s">
        <v>58</v>
      </c>
      <c r="C24" s="6" t="s">
        <v>58</v>
      </c>
      <c r="D24" s="5" t="s">
        <v>61</v>
      </c>
      <c r="E24" s="5" t="s">
        <v>181</v>
      </c>
      <c r="F24" s="46" t="s">
        <v>172</v>
      </c>
      <c r="G24" s="46" t="s">
        <v>172</v>
      </c>
      <c r="H24" s="35">
        <v>23.9693</v>
      </c>
      <c r="I24" s="35">
        <v>56.421900000000001</v>
      </c>
      <c r="J24" s="31">
        <v>31.5</v>
      </c>
      <c r="K24" s="31">
        <v>11.7</v>
      </c>
      <c r="L24" s="32">
        <v>-340</v>
      </c>
      <c r="M24" s="32" t="s">
        <v>170</v>
      </c>
      <c r="N24" s="29">
        <v>68.099999999999994</v>
      </c>
      <c r="O24" s="29">
        <v>28.5</v>
      </c>
      <c r="P24" s="29">
        <v>3.3</v>
      </c>
      <c r="Q24" s="29" t="s">
        <v>170</v>
      </c>
      <c r="R24" s="29" t="s">
        <v>170</v>
      </c>
      <c r="S24" s="8" t="s">
        <v>82</v>
      </c>
      <c r="T24" s="8" t="s">
        <v>105</v>
      </c>
      <c r="U24" s="41">
        <v>4.05</v>
      </c>
      <c r="V24" s="23" t="s">
        <v>172</v>
      </c>
      <c r="W24" s="23" t="s">
        <v>172</v>
      </c>
      <c r="X24" s="30" t="s">
        <v>69</v>
      </c>
      <c r="Y24" s="13">
        <v>2.8499999999999998E-6</v>
      </c>
      <c r="Z24" s="13">
        <v>9.7499999999999998E-6</v>
      </c>
      <c r="AA24" s="13">
        <v>1.844E-5</v>
      </c>
      <c r="AB24" s="13">
        <v>4.0999999999999994E-7</v>
      </c>
      <c r="AC24" s="48" t="s">
        <v>172</v>
      </c>
      <c r="AD24" s="49">
        <f t="shared" si="0"/>
        <v>0.29230769230769227</v>
      </c>
      <c r="AE24" s="22">
        <v>0.7</v>
      </c>
      <c r="AF24" s="13">
        <f t="shared" si="1"/>
        <v>9.7999999999999993E-7</v>
      </c>
      <c r="AG24" s="13">
        <f t="shared" si="2"/>
        <v>2.7929999999999995E-12</v>
      </c>
      <c r="AH24" s="37" t="s">
        <v>172</v>
      </c>
      <c r="AI24" s="9">
        <f t="shared" si="3"/>
        <v>0.52874186550976143</v>
      </c>
      <c r="AJ24" s="9">
        <f t="shared" si="4"/>
        <v>44.975609756097569</v>
      </c>
      <c r="AK24" s="9">
        <f t="shared" si="5"/>
        <v>2.2234273318872014E-2</v>
      </c>
      <c r="AL24" s="37"/>
      <c r="AM24" s="46" t="s">
        <v>140</v>
      </c>
    </row>
    <row r="25" spans="1:39" s="46" customFormat="1" x14ac:dyDescent="0.3">
      <c r="A25" s="5" t="s">
        <v>44</v>
      </c>
      <c r="B25" s="6" t="s">
        <v>59</v>
      </c>
      <c r="C25" s="6" t="s">
        <v>59</v>
      </c>
      <c r="D25" s="5" t="s">
        <v>61</v>
      </c>
      <c r="E25" s="5" t="s">
        <v>181</v>
      </c>
      <c r="F25" s="46" t="s">
        <v>172</v>
      </c>
      <c r="G25" s="46" t="s">
        <v>172</v>
      </c>
      <c r="H25" s="35">
        <v>23.5352</v>
      </c>
      <c r="I25" s="35">
        <v>57.333300000000001</v>
      </c>
      <c r="J25" s="31">
        <v>31.2</v>
      </c>
      <c r="K25" s="31">
        <v>10.1</v>
      </c>
      <c r="L25" s="32">
        <v>-500</v>
      </c>
      <c r="M25" s="32" t="s">
        <v>170</v>
      </c>
      <c r="N25" s="29">
        <v>65.099999999999994</v>
      </c>
      <c r="O25" s="29">
        <v>32.4</v>
      </c>
      <c r="P25" s="29">
        <v>2.5</v>
      </c>
      <c r="Q25" s="29" t="s">
        <v>170</v>
      </c>
      <c r="R25" s="29" t="s">
        <v>170</v>
      </c>
      <c r="S25" s="8" t="s">
        <v>83</v>
      </c>
      <c r="T25" s="8" t="s">
        <v>106</v>
      </c>
      <c r="U25" s="41">
        <v>4.05</v>
      </c>
      <c r="V25" s="23" t="s">
        <v>172</v>
      </c>
      <c r="W25" s="23" t="s">
        <v>172</v>
      </c>
      <c r="X25" s="30" t="s">
        <v>70</v>
      </c>
      <c r="Y25" s="13">
        <v>4.6999999999999995E-7</v>
      </c>
      <c r="Z25" s="13">
        <v>1.172E-6</v>
      </c>
      <c r="AA25" s="13">
        <v>2.8999999999999998E-6</v>
      </c>
      <c r="AB25" s="13">
        <v>5.9999999999999995E-8</v>
      </c>
      <c r="AC25" s="48" t="s">
        <v>172</v>
      </c>
      <c r="AD25" s="49">
        <f t="shared" si="0"/>
        <v>0.40102389078498291</v>
      </c>
      <c r="AE25" s="22">
        <v>0.56999999999999995</v>
      </c>
      <c r="AF25" s="13">
        <f t="shared" si="1"/>
        <v>7.9799999999999992E-7</v>
      </c>
      <c r="AG25" s="13">
        <f t="shared" si="2"/>
        <v>3.7505999999999992E-13</v>
      </c>
      <c r="AH25" s="37" t="s">
        <v>172</v>
      </c>
      <c r="AI25" s="9">
        <f t="shared" si="3"/>
        <v>0.40413793103448276</v>
      </c>
      <c r="AJ25" s="9">
        <f t="shared" si="4"/>
        <v>48.333333333333336</v>
      </c>
      <c r="AK25" s="9">
        <f t="shared" si="5"/>
        <v>2.0689655172413793E-2</v>
      </c>
      <c r="AL25" s="37"/>
      <c r="AM25" s="46" t="s">
        <v>140</v>
      </c>
    </row>
    <row r="26" spans="1:39" x14ac:dyDescent="0.3">
      <c r="A26" s="5" t="s">
        <v>44</v>
      </c>
      <c r="B26" s="6" t="s">
        <v>60</v>
      </c>
      <c r="C26" s="6" t="s">
        <v>60</v>
      </c>
      <c r="D26" s="5" t="s">
        <v>61</v>
      </c>
      <c r="E26" s="5" t="s">
        <v>181</v>
      </c>
      <c r="F26" s="20" t="s">
        <v>172</v>
      </c>
      <c r="G26" s="20" t="s">
        <v>172</v>
      </c>
      <c r="H26" s="35">
        <v>22.895600000000002</v>
      </c>
      <c r="I26" s="35">
        <v>58.394599999999997</v>
      </c>
      <c r="J26" s="31">
        <v>29.5</v>
      </c>
      <c r="K26" s="31">
        <v>11.2</v>
      </c>
      <c r="L26" s="32">
        <v>-45</v>
      </c>
      <c r="M26" s="32" t="s">
        <v>170</v>
      </c>
      <c r="N26" s="29">
        <v>61</v>
      </c>
      <c r="O26" s="29">
        <v>23.2</v>
      </c>
      <c r="P26" s="29">
        <v>15.4</v>
      </c>
      <c r="Q26" s="29" t="s">
        <v>170</v>
      </c>
      <c r="R26" s="29" t="s">
        <v>170</v>
      </c>
      <c r="S26" s="8" t="s">
        <v>84</v>
      </c>
      <c r="T26" s="8" t="s">
        <v>107</v>
      </c>
      <c r="U26" s="41">
        <v>4.05</v>
      </c>
      <c r="V26" s="23" t="s">
        <v>172</v>
      </c>
      <c r="W26" s="23" t="s">
        <v>172</v>
      </c>
      <c r="X26" s="22">
        <v>7.9</v>
      </c>
      <c r="Y26" s="13">
        <v>2.3399999999999996E-6</v>
      </c>
      <c r="Z26" s="13">
        <v>1.0329999999999999E-6</v>
      </c>
      <c r="AA26" s="13">
        <v>9.5099999999999987E-6</v>
      </c>
      <c r="AB26" s="13">
        <v>2.4999999999999999E-7</v>
      </c>
      <c r="AC26" s="19" t="s">
        <v>172</v>
      </c>
      <c r="AD26" s="25">
        <f t="shared" si="0"/>
        <v>2.2652468538238142</v>
      </c>
      <c r="AE26" s="22">
        <v>0.89</v>
      </c>
      <c r="AF26" s="13">
        <f t="shared" si="1"/>
        <v>1.246E-6</v>
      </c>
      <c r="AG26" s="13">
        <f t="shared" si="2"/>
        <v>2.9156399999999995E-12</v>
      </c>
      <c r="AH26" s="37" t="s">
        <v>172</v>
      </c>
      <c r="AI26" s="9">
        <f t="shared" si="3"/>
        <v>0.10862250262881178</v>
      </c>
      <c r="AJ26" s="9">
        <f t="shared" si="4"/>
        <v>38.04</v>
      </c>
      <c r="AK26" s="9">
        <f t="shared" si="5"/>
        <v>2.6288117770767616E-2</v>
      </c>
      <c r="AL26" s="37"/>
      <c r="AM26" s="20" t="s">
        <v>140</v>
      </c>
    </row>
    <row r="27" spans="1:39" x14ac:dyDescent="0.3">
      <c r="A27" s="5" t="s">
        <v>44</v>
      </c>
      <c r="B27" s="6" t="s">
        <v>163</v>
      </c>
      <c r="C27" s="6" t="s">
        <v>163</v>
      </c>
      <c r="D27" s="5" t="s">
        <v>42</v>
      </c>
      <c r="E27" s="5" t="s">
        <v>181</v>
      </c>
      <c r="F27" s="20" t="s">
        <v>172</v>
      </c>
      <c r="G27" s="20" t="s">
        <v>172</v>
      </c>
      <c r="H27" s="35">
        <v>23.4285</v>
      </c>
      <c r="I27" s="35">
        <v>57.668300000000002</v>
      </c>
      <c r="J27" s="31">
        <v>32.9</v>
      </c>
      <c r="K27" s="31">
        <v>11.1</v>
      </c>
      <c r="L27" s="32">
        <v>-420</v>
      </c>
      <c r="M27" s="32" t="s">
        <v>170</v>
      </c>
      <c r="N27" s="29">
        <v>26.9</v>
      </c>
      <c r="O27" s="29">
        <v>57.3</v>
      </c>
      <c r="P27" s="29">
        <v>15.9</v>
      </c>
      <c r="Q27" s="29" t="s">
        <v>170</v>
      </c>
      <c r="R27" s="29" t="s">
        <v>170</v>
      </c>
      <c r="S27" s="8" t="s">
        <v>77</v>
      </c>
      <c r="T27" s="8" t="s">
        <v>108</v>
      </c>
      <c r="U27" s="41">
        <v>4.05</v>
      </c>
      <c r="V27" s="23" t="s">
        <v>172</v>
      </c>
      <c r="W27" s="23" t="s">
        <v>172</v>
      </c>
      <c r="X27" s="30" t="s">
        <v>71</v>
      </c>
      <c r="Y27" s="13">
        <v>7.4299999999999992E-6</v>
      </c>
      <c r="Z27" s="13">
        <v>5.4300000000000003E-7</v>
      </c>
      <c r="AA27" s="13">
        <v>5.4099999999999999E-6</v>
      </c>
      <c r="AB27" s="13">
        <v>1.3E-7</v>
      </c>
      <c r="AC27" s="19" t="s">
        <v>172</v>
      </c>
      <c r="AD27" s="25">
        <f t="shared" si="0"/>
        <v>13.683241252302023</v>
      </c>
      <c r="AE27" s="22">
        <v>0.76</v>
      </c>
      <c r="AF27" s="13">
        <f t="shared" si="1"/>
        <v>1.0639999999999999E-6</v>
      </c>
      <c r="AG27" s="13">
        <f t="shared" si="2"/>
        <v>7.9055199999999988E-12</v>
      </c>
      <c r="AH27" s="37" t="s">
        <v>172</v>
      </c>
      <c r="AI27" s="9">
        <f t="shared" si="3"/>
        <v>0.10036968576709797</v>
      </c>
      <c r="AJ27" s="9">
        <f t="shared" si="4"/>
        <v>41.615384615384613</v>
      </c>
      <c r="AK27" s="9">
        <f t="shared" si="5"/>
        <v>2.4029574861367836E-2</v>
      </c>
      <c r="AL27" s="37"/>
      <c r="AM27" s="20" t="s">
        <v>140</v>
      </c>
    </row>
    <row r="28" spans="1:39" x14ac:dyDescent="0.3">
      <c r="A28" s="5" t="s">
        <v>44</v>
      </c>
      <c r="B28" s="6" t="s">
        <v>164</v>
      </c>
      <c r="C28" s="6" t="s">
        <v>164</v>
      </c>
      <c r="D28" s="5" t="s">
        <v>42</v>
      </c>
      <c r="E28" s="5" t="s">
        <v>181</v>
      </c>
      <c r="F28" s="20" t="s">
        <v>172</v>
      </c>
      <c r="G28" s="20" t="s">
        <v>172</v>
      </c>
      <c r="H28" s="35">
        <v>23.4239</v>
      </c>
      <c r="I28" s="35">
        <v>57.672199999999997</v>
      </c>
      <c r="J28" s="31">
        <v>23.8</v>
      </c>
      <c r="K28" s="31">
        <v>11.1</v>
      </c>
      <c r="L28" s="32">
        <v>-39</v>
      </c>
      <c r="M28" s="32" t="s">
        <v>170</v>
      </c>
      <c r="N28" s="29">
        <v>36.1</v>
      </c>
      <c r="O28" s="29">
        <v>58.2</v>
      </c>
      <c r="P28" s="29">
        <v>5.7</v>
      </c>
      <c r="Q28" s="29" t="s">
        <v>170</v>
      </c>
      <c r="R28" s="29">
        <v>0.01</v>
      </c>
      <c r="S28" s="8" t="s">
        <v>85</v>
      </c>
      <c r="T28" s="8" t="s">
        <v>109</v>
      </c>
      <c r="U28" s="41">
        <v>4.05</v>
      </c>
      <c r="V28" s="23" t="s">
        <v>172</v>
      </c>
      <c r="W28" s="23" t="s">
        <v>172</v>
      </c>
      <c r="X28" s="23" t="s">
        <v>172</v>
      </c>
      <c r="Y28" s="13">
        <v>6.0499999999999997E-6</v>
      </c>
      <c r="Z28" s="13">
        <v>9.778999999999999E-6</v>
      </c>
      <c r="AA28" s="13">
        <v>2.6480000000000001E-5</v>
      </c>
      <c r="AB28" s="13">
        <v>4.8999999999999997E-7</v>
      </c>
      <c r="AC28" s="19" t="s">
        <v>172</v>
      </c>
      <c r="AD28" s="25">
        <f t="shared" si="0"/>
        <v>0.6186726659167604</v>
      </c>
      <c r="AE28" s="22">
        <v>1.25</v>
      </c>
      <c r="AF28" s="13">
        <f t="shared" si="1"/>
        <v>1.75E-6</v>
      </c>
      <c r="AG28" s="13">
        <f t="shared" si="2"/>
        <v>1.0587499999999999E-11</v>
      </c>
      <c r="AH28" s="37" t="s">
        <v>172</v>
      </c>
      <c r="AI28" s="9">
        <f t="shared" si="3"/>
        <v>0.36929758308157096</v>
      </c>
      <c r="AJ28" s="9">
        <f t="shared" si="4"/>
        <v>54.040816326530617</v>
      </c>
      <c r="AK28" s="9">
        <f t="shared" si="5"/>
        <v>1.8504531722054379E-2</v>
      </c>
      <c r="AL28" s="37"/>
      <c r="AM28" s="20" t="s">
        <v>140</v>
      </c>
    </row>
    <row r="29" spans="1:39" x14ac:dyDescent="0.3">
      <c r="A29" s="5" t="s">
        <v>44</v>
      </c>
      <c r="B29" s="6" t="s">
        <v>165</v>
      </c>
      <c r="C29" s="6" t="s">
        <v>165</v>
      </c>
      <c r="D29" s="5" t="s">
        <v>42</v>
      </c>
      <c r="E29" s="5" t="s">
        <v>181</v>
      </c>
      <c r="F29" s="20" t="s">
        <v>172</v>
      </c>
      <c r="G29" s="20" t="s">
        <v>172</v>
      </c>
      <c r="H29" s="35">
        <v>23.424199999999999</v>
      </c>
      <c r="I29" s="35">
        <v>57.6721</v>
      </c>
      <c r="J29" s="31">
        <v>37.4</v>
      </c>
      <c r="K29" s="31">
        <v>11.2</v>
      </c>
      <c r="L29" s="32">
        <v>-82</v>
      </c>
      <c r="M29" s="32" t="s">
        <v>170</v>
      </c>
      <c r="N29" s="29">
        <v>31.4</v>
      </c>
      <c r="O29" s="29">
        <v>59.9</v>
      </c>
      <c r="P29" s="29">
        <v>8.6999999999999993</v>
      </c>
      <c r="Q29" s="29" t="s">
        <v>170</v>
      </c>
      <c r="R29" s="29">
        <v>0.01</v>
      </c>
      <c r="S29" s="8" t="s">
        <v>86</v>
      </c>
      <c r="T29" s="8" t="s">
        <v>110</v>
      </c>
      <c r="U29" s="41">
        <v>4.05</v>
      </c>
      <c r="V29" s="23" t="s">
        <v>172</v>
      </c>
      <c r="W29" s="23" t="s">
        <v>172</v>
      </c>
      <c r="X29" s="23" t="s">
        <v>172</v>
      </c>
      <c r="Y29" s="13">
        <v>3.4700000000000002E-6</v>
      </c>
      <c r="Z29" s="13">
        <v>8.6799999999999999E-6</v>
      </c>
      <c r="AA29" s="13">
        <v>2.8899999999999998E-5</v>
      </c>
      <c r="AB29" s="13">
        <v>6.0999999999999998E-7</v>
      </c>
      <c r="AC29" s="19" t="s">
        <v>172</v>
      </c>
      <c r="AD29" s="25">
        <f t="shared" si="0"/>
        <v>0.39976958525345624</v>
      </c>
      <c r="AE29" s="22">
        <v>0.93</v>
      </c>
      <c r="AF29" s="13">
        <f t="shared" si="1"/>
        <v>1.302E-6</v>
      </c>
      <c r="AG29" s="13">
        <f t="shared" si="2"/>
        <v>4.51794E-12</v>
      </c>
      <c r="AH29" s="37" t="s">
        <v>172</v>
      </c>
      <c r="AI29" s="9">
        <f t="shared" si="3"/>
        <v>0.30034602076124567</v>
      </c>
      <c r="AJ29" s="9">
        <f t="shared" si="4"/>
        <v>47.377049180327866</v>
      </c>
      <c r="AK29" s="9">
        <f t="shared" si="5"/>
        <v>2.110726643598616E-2</v>
      </c>
      <c r="AL29" s="37"/>
      <c r="AM29" s="20" t="s">
        <v>140</v>
      </c>
    </row>
    <row r="30" spans="1:39" s="46" customFormat="1" x14ac:dyDescent="0.3">
      <c r="A30" s="5" t="s">
        <v>44</v>
      </c>
      <c r="B30" s="6" t="s">
        <v>88</v>
      </c>
      <c r="C30" s="16" t="s">
        <v>88</v>
      </c>
      <c r="D30" s="5" t="s">
        <v>43</v>
      </c>
      <c r="E30" s="5" t="s">
        <v>182</v>
      </c>
      <c r="F30" s="46" t="s">
        <v>172</v>
      </c>
      <c r="G30" s="46" t="s">
        <v>172</v>
      </c>
      <c r="H30" s="36">
        <v>23.470099999999999</v>
      </c>
      <c r="I30" s="36">
        <v>58.323900000000002</v>
      </c>
      <c r="J30" s="22">
        <v>66.3</v>
      </c>
      <c r="K30" s="22">
        <v>6.9</v>
      </c>
      <c r="L30" s="33">
        <v>89</v>
      </c>
      <c r="M30" s="47" t="s">
        <v>170</v>
      </c>
      <c r="N30" s="7" t="s">
        <v>170</v>
      </c>
      <c r="O30" s="9">
        <v>97.9</v>
      </c>
      <c r="P30" s="9">
        <v>0.2</v>
      </c>
      <c r="Q30" s="9">
        <v>1.8</v>
      </c>
      <c r="R30" s="9">
        <v>0.1</v>
      </c>
      <c r="S30" s="7" t="s">
        <v>172</v>
      </c>
      <c r="T30" s="8" t="s">
        <v>111</v>
      </c>
      <c r="U30" s="42"/>
      <c r="V30" s="23" t="s">
        <v>172</v>
      </c>
      <c r="W30" s="23" t="s">
        <v>172</v>
      </c>
      <c r="X30" s="23" t="s">
        <v>172</v>
      </c>
      <c r="Y30" s="13">
        <v>1.4099999999999999E-5</v>
      </c>
      <c r="Z30" s="13">
        <v>1.2559E-5</v>
      </c>
      <c r="AA30" s="13">
        <v>1.6030000000000001E-5</v>
      </c>
      <c r="AB30" s="13">
        <v>2.9999999999999999E-7</v>
      </c>
      <c r="AC30" s="48" t="s">
        <v>172</v>
      </c>
      <c r="AD30" s="49">
        <f t="shared" si="0"/>
        <v>1.1227008519786608</v>
      </c>
      <c r="AE30" s="22">
        <v>0.42</v>
      </c>
      <c r="AF30" s="13">
        <f t="shared" si="1"/>
        <v>5.8799999999999992E-7</v>
      </c>
      <c r="AG30" s="13">
        <f t="shared" si="2"/>
        <v>8.2907999999999978E-12</v>
      </c>
      <c r="AH30" s="38">
        <f>Q30/AG30</f>
        <v>217108119843.68222</v>
      </c>
      <c r="AI30" s="9">
        <f t="shared" si="3"/>
        <v>0.78346849656893314</v>
      </c>
      <c r="AJ30" s="9">
        <f t="shared" si="4"/>
        <v>53.433333333333337</v>
      </c>
      <c r="AK30" s="9">
        <f t="shared" si="5"/>
        <v>1.8714909544603867E-2</v>
      </c>
      <c r="AL30" s="38"/>
      <c r="AM30" s="46" t="s">
        <v>140</v>
      </c>
    </row>
    <row r="31" spans="1:39" s="46" customFormat="1" x14ac:dyDescent="0.3">
      <c r="A31" s="5" t="s">
        <v>44</v>
      </c>
      <c r="B31" s="6" t="s">
        <v>89</v>
      </c>
      <c r="C31" s="16" t="s">
        <v>89</v>
      </c>
      <c r="D31" s="5" t="s">
        <v>43</v>
      </c>
      <c r="E31" s="5" t="s">
        <v>182</v>
      </c>
      <c r="F31" s="46" t="s">
        <v>172</v>
      </c>
      <c r="G31" s="46" t="s">
        <v>172</v>
      </c>
      <c r="H31" s="36">
        <v>23.3935</v>
      </c>
      <c r="I31" s="36">
        <v>57.411299999999997</v>
      </c>
      <c r="J31" s="22">
        <v>45.3</v>
      </c>
      <c r="K31" s="22">
        <v>7.2</v>
      </c>
      <c r="L31" s="33">
        <v>125</v>
      </c>
      <c r="M31" s="22">
        <v>0.2</v>
      </c>
      <c r="N31" s="7" t="s">
        <v>170</v>
      </c>
      <c r="O31" s="9">
        <v>99.2</v>
      </c>
      <c r="P31" s="7" t="s">
        <v>170</v>
      </c>
      <c r="Q31" s="9">
        <v>0.7</v>
      </c>
      <c r="R31" s="7" t="s">
        <v>170</v>
      </c>
      <c r="S31" s="7" t="s">
        <v>172</v>
      </c>
      <c r="T31" s="7" t="s">
        <v>172</v>
      </c>
      <c r="U31" s="41"/>
      <c r="V31" s="30" t="s">
        <v>71</v>
      </c>
      <c r="W31" s="30" t="s">
        <v>91</v>
      </c>
      <c r="X31" s="23" t="s">
        <v>172</v>
      </c>
      <c r="Y31" s="13">
        <v>3.5289999999999996E-4</v>
      </c>
      <c r="Z31" s="13">
        <v>2.5889999999999997E-6</v>
      </c>
      <c r="AA31" s="13">
        <v>5.6000000000000004E-7</v>
      </c>
      <c r="AB31" s="13">
        <v>1E-8</v>
      </c>
      <c r="AC31" s="48" t="s">
        <v>172</v>
      </c>
      <c r="AD31" s="49">
        <f t="shared" si="0"/>
        <v>136.30745461568173</v>
      </c>
      <c r="AE31" s="22">
        <v>0.08</v>
      </c>
      <c r="AF31" s="13">
        <f t="shared" si="1"/>
        <v>1.12E-7</v>
      </c>
      <c r="AG31" s="13">
        <f t="shared" si="2"/>
        <v>3.9524799999999995E-11</v>
      </c>
      <c r="AH31" s="38">
        <f t="shared" si="6"/>
        <v>17710399546.613773</v>
      </c>
      <c r="AI31" s="9">
        <f t="shared" si="3"/>
        <v>4.6232142857142851</v>
      </c>
      <c r="AJ31" s="9">
        <f t="shared" si="4"/>
        <v>56</v>
      </c>
      <c r="AK31" s="9">
        <f t="shared" si="5"/>
        <v>1.7857142857142856E-2</v>
      </c>
      <c r="AL31" s="38"/>
      <c r="AM31" s="46" t="s">
        <v>140</v>
      </c>
    </row>
    <row r="32" spans="1:39" s="46" customFormat="1" x14ac:dyDescent="0.3">
      <c r="A32" s="5" t="s">
        <v>44</v>
      </c>
      <c r="B32" s="6" t="s">
        <v>90</v>
      </c>
      <c r="C32" s="16" t="s">
        <v>90</v>
      </c>
      <c r="D32" s="5" t="s">
        <v>43</v>
      </c>
      <c r="E32" s="5" t="s">
        <v>182</v>
      </c>
      <c r="F32" s="46" t="s">
        <v>172</v>
      </c>
      <c r="G32" s="46" t="s">
        <v>172</v>
      </c>
      <c r="H32" s="36">
        <v>23.375399999999999</v>
      </c>
      <c r="I32" s="36">
        <v>57.828400000000002</v>
      </c>
      <c r="J32" s="22">
        <v>37.9</v>
      </c>
      <c r="K32" s="22">
        <v>7.5</v>
      </c>
      <c r="L32" s="33">
        <v>146</v>
      </c>
      <c r="M32" s="22">
        <v>0.1</v>
      </c>
      <c r="N32" s="7" t="s">
        <v>170</v>
      </c>
      <c r="O32" s="9">
        <v>98.9</v>
      </c>
      <c r="P32" s="7" t="s">
        <v>170</v>
      </c>
      <c r="Q32" s="9">
        <v>1</v>
      </c>
      <c r="R32" s="7" t="s">
        <v>170</v>
      </c>
      <c r="S32" s="7" t="s">
        <v>172</v>
      </c>
      <c r="T32" s="7" t="s">
        <v>172</v>
      </c>
      <c r="U32" s="41"/>
      <c r="V32" s="23" t="s">
        <v>172</v>
      </c>
      <c r="W32" s="30" t="s">
        <v>92</v>
      </c>
      <c r="X32" s="23" t="s">
        <v>172</v>
      </c>
      <c r="Y32" s="13">
        <v>1.3820699999999998E-3</v>
      </c>
      <c r="Z32" s="13">
        <v>1.7599999999999999E-6</v>
      </c>
      <c r="AA32" s="13">
        <v>1.2119999999999999E-5</v>
      </c>
      <c r="AB32" s="13">
        <v>2.4999999999999999E-7</v>
      </c>
      <c r="AC32" s="48" t="s">
        <v>172</v>
      </c>
      <c r="AD32" s="49">
        <f t="shared" si="0"/>
        <v>785.26704545454538</v>
      </c>
      <c r="AE32" s="22">
        <v>7.0000000000000007E-2</v>
      </c>
      <c r="AF32" s="13">
        <f t="shared" si="1"/>
        <v>9.8000000000000004E-8</v>
      </c>
      <c r="AG32" s="13">
        <f t="shared" si="2"/>
        <v>1.3544286E-10</v>
      </c>
      <c r="AH32" s="38">
        <f t="shared" si="6"/>
        <v>7383187271.7395363</v>
      </c>
      <c r="AI32" s="9">
        <f t="shared" si="3"/>
        <v>0.14521452145214522</v>
      </c>
      <c r="AJ32" s="9">
        <f t="shared" si="4"/>
        <v>48.48</v>
      </c>
      <c r="AK32" s="9">
        <f t="shared" si="5"/>
        <v>2.0627062706270627E-2</v>
      </c>
      <c r="AL32" s="38"/>
      <c r="AM32" s="46" t="s">
        <v>140</v>
      </c>
    </row>
    <row r="33" spans="1:39" s="46" customFormat="1" x14ac:dyDescent="0.3">
      <c r="A33" s="5" t="s">
        <v>112</v>
      </c>
      <c r="B33" s="6" t="s">
        <v>113</v>
      </c>
      <c r="C33" s="16" t="s">
        <v>113</v>
      </c>
      <c r="D33" s="5" t="s">
        <v>42</v>
      </c>
      <c r="E33" s="5" t="s">
        <v>181</v>
      </c>
      <c r="F33" s="46" t="s">
        <v>172</v>
      </c>
      <c r="G33" s="46" t="s">
        <v>172</v>
      </c>
      <c r="H33" s="34">
        <v>15.7033</v>
      </c>
      <c r="I33" s="50">
        <v>120.2825</v>
      </c>
      <c r="J33" s="26">
        <v>34.299999999999997</v>
      </c>
      <c r="K33" s="26">
        <v>11.3</v>
      </c>
      <c r="L33" s="27">
        <v>-38</v>
      </c>
      <c r="M33" s="27" t="s">
        <v>170</v>
      </c>
      <c r="N33" s="28">
        <v>35.1</v>
      </c>
      <c r="O33" s="28">
        <v>48</v>
      </c>
      <c r="P33" s="28">
        <v>16.7</v>
      </c>
      <c r="Q33" s="28" t="s">
        <v>170</v>
      </c>
      <c r="R33" s="28" t="s">
        <v>170</v>
      </c>
      <c r="S33" s="8" t="s">
        <v>120</v>
      </c>
      <c r="T33" s="8" t="s">
        <v>121</v>
      </c>
      <c r="U33" s="42"/>
      <c r="V33" s="30" t="s">
        <v>122</v>
      </c>
      <c r="W33" s="23" t="s">
        <v>172</v>
      </c>
      <c r="X33" s="30" t="s">
        <v>117</v>
      </c>
      <c r="Y33" s="13">
        <v>2.6599999999999999E-6</v>
      </c>
      <c r="Z33" s="13">
        <v>8.2039999999999997E-6</v>
      </c>
      <c r="AA33" s="13">
        <v>1.8620000000000001E-5</v>
      </c>
      <c r="AB33" s="13">
        <v>3.9999999999999998E-7</v>
      </c>
      <c r="AC33" s="48" t="s">
        <v>172</v>
      </c>
      <c r="AD33" s="49">
        <f t="shared" si="0"/>
        <v>0.32423208191126279</v>
      </c>
      <c r="AE33" s="22">
        <v>0.71</v>
      </c>
      <c r="AF33" s="13">
        <f t="shared" si="1"/>
        <v>9.9399999999999993E-7</v>
      </c>
      <c r="AG33" s="13">
        <f t="shared" si="2"/>
        <v>2.6440399999999997E-12</v>
      </c>
      <c r="AH33" s="37" t="s">
        <v>172</v>
      </c>
      <c r="AI33" s="9">
        <f t="shared" si="3"/>
        <v>0.44060150375939844</v>
      </c>
      <c r="AJ33" s="9">
        <f t="shared" si="4"/>
        <v>46.550000000000004</v>
      </c>
      <c r="AK33" s="9">
        <f t="shared" si="5"/>
        <v>2.1482277121374863E-2</v>
      </c>
      <c r="AL33" s="37"/>
      <c r="AM33" s="46" t="s">
        <v>140</v>
      </c>
    </row>
    <row r="34" spans="1:39" s="46" customFormat="1" x14ac:dyDescent="0.3">
      <c r="A34" s="5" t="s">
        <v>112</v>
      </c>
      <c r="B34" s="11" t="s">
        <v>114</v>
      </c>
      <c r="C34" s="51" t="s">
        <v>166</v>
      </c>
      <c r="D34" s="5" t="s">
        <v>116</v>
      </c>
      <c r="E34" s="5" t="s">
        <v>180</v>
      </c>
      <c r="F34" s="46" t="s">
        <v>172</v>
      </c>
      <c r="G34" s="46" t="s">
        <v>172</v>
      </c>
      <c r="H34" s="36">
        <v>14.837</v>
      </c>
      <c r="I34" s="50" t="s">
        <v>171</v>
      </c>
      <c r="J34" s="23" t="s">
        <v>172</v>
      </c>
      <c r="K34" s="23" t="s">
        <v>172</v>
      </c>
      <c r="L34" s="7" t="s">
        <v>172</v>
      </c>
      <c r="M34" s="47" t="s">
        <v>170</v>
      </c>
      <c r="N34" s="29">
        <v>58.5</v>
      </c>
      <c r="O34" s="52">
        <v>1.2</v>
      </c>
      <c r="P34" s="9">
        <v>38.700000000000003</v>
      </c>
      <c r="Q34" s="7" t="s">
        <v>170</v>
      </c>
      <c r="R34" s="7" t="s">
        <v>170</v>
      </c>
      <c r="S34" s="12" t="s">
        <v>123</v>
      </c>
      <c r="T34" s="12" t="s">
        <v>124</v>
      </c>
      <c r="U34" s="43"/>
      <c r="V34" s="24" t="s">
        <v>125</v>
      </c>
      <c r="W34" s="23" t="s">
        <v>172</v>
      </c>
      <c r="X34" s="24" t="s">
        <v>118</v>
      </c>
      <c r="Y34" s="15">
        <v>4.6799999999999992E-6</v>
      </c>
      <c r="Z34" s="15">
        <v>4.6999999999999997E-8</v>
      </c>
      <c r="AA34" s="15">
        <v>4.0999999999999994E-7</v>
      </c>
      <c r="AB34" s="15">
        <v>1E-8</v>
      </c>
      <c r="AC34" s="48" t="s">
        <v>172</v>
      </c>
      <c r="AD34" s="49">
        <f t="shared" si="0"/>
        <v>99.574468085106375</v>
      </c>
      <c r="AE34" s="24" t="s">
        <v>128</v>
      </c>
      <c r="AF34" s="13">
        <f t="shared" si="1"/>
        <v>6.0899999999999993E-6</v>
      </c>
      <c r="AG34" s="13">
        <f t="shared" si="2"/>
        <v>2.8501199999999993E-11</v>
      </c>
      <c r="AH34" s="37" t="s">
        <v>172</v>
      </c>
      <c r="AI34" s="9">
        <f t="shared" si="3"/>
        <v>0.11463414634146342</v>
      </c>
      <c r="AJ34" s="9">
        <f t="shared" si="4"/>
        <v>40.999999999999993</v>
      </c>
      <c r="AK34" s="9">
        <f t="shared" si="5"/>
        <v>2.4390243902439029E-2</v>
      </c>
      <c r="AL34" s="37"/>
      <c r="AM34" s="46" t="s">
        <v>140</v>
      </c>
    </row>
    <row r="35" spans="1:39" s="46" customFormat="1" x14ac:dyDescent="0.3">
      <c r="A35" s="5" t="s">
        <v>112</v>
      </c>
      <c r="B35" s="11" t="s">
        <v>115</v>
      </c>
      <c r="C35" s="51" t="s">
        <v>167</v>
      </c>
      <c r="D35" s="5" t="s">
        <v>116</v>
      </c>
      <c r="E35" s="5" t="s">
        <v>180</v>
      </c>
      <c r="F35" s="46" t="s">
        <v>172</v>
      </c>
      <c r="G35" s="46" t="s">
        <v>172</v>
      </c>
      <c r="H35" s="36">
        <v>15.5718</v>
      </c>
      <c r="I35" s="36">
        <v>120.15130000000001</v>
      </c>
      <c r="J35" s="23" t="s">
        <v>172</v>
      </c>
      <c r="K35" s="23" t="s">
        <v>172</v>
      </c>
      <c r="L35" s="7" t="s">
        <v>172</v>
      </c>
      <c r="M35" s="47" t="s">
        <v>170</v>
      </c>
      <c r="N35" s="29">
        <v>44.5</v>
      </c>
      <c r="O35" s="9">
        <v>1.5</v>
      </c>
      <c r="P35" s="9">
        <v>52.2</v>
      </c>
      <c r="Q35" s="7" t="s">
        <v>170</v>
      </c>
      <c r="R35" s="7" t="s">
        <v>170</v>
      </c>
      <c r="S35" s="12" t="s">
        <v>126</v>
      </c>
      <c r="T35" s="12" t="s">
        <v>127</v>
      </c>
      <c r="U35" s="43"/>
      <c r="V35" s="23" t="s">
        <v>172</v>
      </c>
      <c r="W35" s="23" t="s">
        <v>172</v>
      </c>
      <c r="X35" s="24" t="s">
        <v>119</v>
      </c>
      <c r="Y35" s="15">
        <v>4.3799999999999996E-6</v>
      </c>
      <c r="Z35" s="15">
        <v>4.1899999999999998E-7</v>
      </c>
      <c r="AA35" s="15">
        <v>3.0399999999999997E-6</v>
      </c>
      <c r="AB35" s="15">
        <v>9.9999999999999995E-8</v>
      </c>
      <c r="AC35" s="48" t="s">
        <v>172</v>
      </c>
      <c r="AD35" s="49">
        <f t="shared" si="0"/>
        <v>10.453460620525059</v>
      </c>
      <c r="AE35" s="24" t="s">
        <v>129</v>
      </c>
      <c r="AF35" s="13">
        <f t="shared" si="1"/>
        <v>6.8599999999999998E-7</v>
      </c>
      <c r="AG35" s="13">
        <f t="shared" si="2"/>
        <v>3.0046799999999997E-12</v>
      </c>
      <c r="AH35" s="37" t="s">
        <v>172</v>
      </c>
      <c r="AI35" s="9">
        <f t="shared" si="3"/>
        <v>0.13782894736842105</v>
      </c>
      <c r="AJ35" s="9">
        <f t="shared" si="4"/>
        <v>30.4</v>
      </c>
      <c r="AK35" s="9">
        <f t="shared" si="5"/>
        <v>3.2894736842105268E-2</v>
      </c>
      <c r="AL35" s="37"/>
      <c r="AM35" s="46" t="s">
        <v>140</v>
      </c>
    </row>
    <row r="36" spans="1:39" s="46" customFormat="1" x14ac:dyDescent="0.3">
      <c r="A36" s="5" t="s">
        <v>130</v>
      </c>
      <c r="B36" s="11" t="s">
        <v>131</v>
      </c>
      <c r="C36" s="51" t="s">
        <v>131</v>
      </c>
      <c r="D36" s="5" t="s">
        <v>116</v>
      </c>
      <c r="E36" s="5" t="s">
        <v>180</v>
      </c>
      <c r="F36" s="46" t="s">
        <v>172</v>
      </c>
      <c r="G36" s="46" t="s">
        <v>172</v>
      </c>
      <c r="H36" s="50">
        <v>36.431800000000003</v>
      </c>
      <c r="I36" s="36">
        <v>30.4557</v>
      </c>
      <c r="J36" s="23" t="s">
        <v>172</v>
      </c>
      <c r="K36" s="23" t="s">
        <v>172</v>
      </c>
      <c r="L36" s="7" t="s">
        <v>172</v>
      </c>
      <c r="M36" s="47" t="s">
        <v>170</v>
      </c>
      <c r="N36" s="29">
        <v>9.4</v>
      </c>
      <c r="O36" s="7">
        <v>1.8</v>
      </c>
      <c r="P36" s="9">
        <v>88.4</v>
      </c>
      <c r="Q36" s="7" t="s">
        <v>170</v>
      </c>
      <c r="R36" s="29">
        <v>0.3</v>
      </c>
      <c r="S36" s="12" t="s">
        <v>134</v>
      </c>
      <c r="T36" s="12" t="s">
        <v>135</v>
      </c>
      <c r="U36" s="43"/>
      <c r="V36" s="23" t="s">
        <v>172</v>
      </c>
      <c r="W36" s="23" t="s">
        <v>172</v>
      </c>
      <c r="X36" s="24" t="s">
        <v>133</v>
      </c>
      <c r="Y36" s="15">
        <v>1.5119999999999999E-4</v>
      </c>
      <c r="Z36" s="15">
        <v>1.0980000000000001E-6</v>
      </c>
      <c r="AA36" s="15">
        <v>8.1999999999999988E-7</v>
      </c>
      <c r="AB36" s="15">
        <v>1E-8</v>
      </c>
      <c r="AC36" s="48" t="s">
        <v>172</v>
      </c>
      <c r="AD36" s="49">
        <f t="shared" si="0"/>
        <v>137.70491803278685</v>
      </c>
      <c r="AE36" s="24" t="s">
        <v>138</v>
      </c>
      <c r="AF36" s="13">
        <f t="shared" si="1"/>
        <v>4.34E-7</v>
      </c>
      <c r="AG36" s="13">
        <f t="shared" si="2"/>
        <v>6.5620799999999998E-11</v>
      </c>
      <c r="AH36" s="37" t="s">
        <v>172</v>
      </c>
      <c r="AI36" s="9">
        <f t="shared" si="3"/>
        <v>1.3390243902439027</v>
      </c>
      <c r="AJ36" s="9">
        <f t="shared" si="4"/>
        <v>81.999999999999986</v>
      </c>
      <c r="AK36" s="9">
        <f t="shared" si="5"/>
        <v>1.2195121951219514E-2</v>
      </c>
      <c r="AL36" s="37"/>
      <c r="AM36" s="46" t="s">
        <v>140</v>
      </c>
    </row>
    <row r="37" spans="1:39" s="46" customFormat="1" x14ac:dyDescent="0.3">
      <c r="A37" s="5" t="s">
        <v>130</v>
      </c>
      <c r="B37" s="53" t="s">
        <v>132</v>
      </c>
      <c r="C37" s="51" t="s">
        <v>132</v>
      </c>
      <c r="D37" s="5" t="s">
        <v>116</v>
      </c>
      <c r="E37" s="5" t="s">
        <v>180</v>
      </c>
      <c r="F37" s="46" t="s">
        <v>172</v>
      </c>
      <c r="G37" s="46" t="s">
        <v>172</v>
      </c>
      <c r="H37" s="36">
        <v>36.435200000000002</v>
      </c>
      <c r="I37" s="36">
        <v>30.453199999999999</v>
      </c>
      <c r="J37" s="23" t="s">
        <v>172</v>
      </c>
      <c r="K37" s="23" t="s">
        <v>172</v>
      </c>
      <c r="L37" s="7" t="s">
        <v>172</v>
      </c>
      <c r="M37" s="47" t="s">
        <v>170</v>
      </c>
      <c r="N37" s="29">
        <v>9.6999999999999993</v>
      </c>
      <c r="O37" s="52">
        <v>2.2000000000000002</v>
      </c>
      <c r="P37" s="9">
        <v>87.6</v>
      </c>
      <c r="Q37" s="7" t="s">
        <v>170</v>
      </c>
      <c r="R37" s="29">
        <v>0.3</v>
      </c>
      <c r="S37" s="54" t="s">
        <v>136</v>
      </c>
      <c r="T37" s="54" t="s">
        <v>137</v>
      </c>
      <c r="U37" s="55"/>
      <c r="V37" s="23" t="s">
        <v>172</v>
      </c>
      <c r="W37" s="23" t="s">
        <v>172</v>
      </c>
      <c r="X37" s="56" t="s">
        <v>133</v>
      </c>
      <c r="Y37" s="57">
        <v>1.405E-4</v>
      </c>
      <c r="Z37" s="57">
        <v>8.0000000000000002E-8</v>
      </c>
      <c r="AA37" s="57">
        <v>1.59E-6</v>
      </c>
      <c r="AB37" s="57">
        <v>2E-8</v>
      </c>
      <c r="AC37" s="48" t="s">
        <v>172</v>
      </c>
      <c r="AD37" s="49">
        <f t="shared" si="0"/>
        <v>1756.25</v>
      </c>
      <c r="AE37" s="56" t="s">
        <v>139</v>
      </c>
      <c r="AF37" s="13">
        <f t="shared" si="1"/>
        <v>4.6199999999999998E-7</v>
      </c>
      <c r="AG37" s="13">
        <f t="shared" si="2"/>
        <v>6.4910999999999994E-11</v>
      </c>
      <c r="AH37" s="37" t="s">
        <v>172</v>
      </c>
      <c r="AI37" s="9">
        <f t="shared" si="3"/>
        <v>5.0314465408805034E-2</v>
      </c>
      <c r="AJ37" s="9">
        <f t="shared" si="4"/>
        <v>79.5</v>
      </c>
      <c r="AK37" s="9">
        <f t="shared" si="5"/>
        <v>1.2578616352201259E-2</v>
      </c>
      <c r="AL37" s="37"/>
      <c r="AM37" s="46" t="s">
        <v>140</v>
      </c>
    </row>
    <row r="38" spans="1:39" s="46" customFormat="1" x14ac:dyDescent="0.3">
      <c r="A38" s="5" t="s">
        <v>189</v>
      </c>
      <c r="B38" s="45" t="s">
        <v>190</v>
      </c>
      <c r="E38" s="5" t="s">
        <v>192</v>
      </c>
      <c r="J38" s="58"/>
      <c r="R38" s="48"/>
      <c r="S38" s="48">
        <v>-700</v>
      </c>
      <c r="T38" s="48">
        <v>-210</v>
      </c>
      <c r="U38" s="48">
        <v>-85</v>
      </c>
      <c r="V38" s="48"/>
      <c r="X38" s="48">
        <v>-34.5</v>
      </c>
      <c r="AJ38" s="9"/>
      <c r="AM38" s="46" t="s">
        <v>193</v>
      </c>
    </row>
    <row r="39" spans="1:39" s="46" customFormat="1" x14ac:dyDescent="0.3">
      <c r="A39" s="5" t="s">
        <v>189</v>
      </c>
      <c r="B39" s="45" t="s">
        <v>191</v>
      </c>
      <c r="E39" s="5" t="s">
        <v>192</v>
      </c>
      <c r="J39" s="58"/>
      <c r="R39" s="48"/>
      <c r="S39" s="48">
        <v>-710</v>
      </c>
      <c r="T39" s="48">
        <v>-300</v>
      </c>
      <c r="U39" s="48">
        <v>-84</v>
      </c>
      <c r="V39" s="48"/>
      <c r="X39" s="48">
        <v>-33.9</v>
      </c>
      <c r="AJ39" s="9"/>
      <c r="AM39" s="46" t="s">
        <v>193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5044-012E-439C-A214-220E2B185B4F}">
  <dimension ref="A1:Q14"/>
  <sheetViews>
    <sheetView tabSelected="1" zoomScale="115" zoomScaleNormal="115" workbookViewId="0">
      <selection activeCell="N26" sqref="N26"/>
    </sheetView>
  </sheetViews>
  <sheetFormatPr defaultRowHeight="13.8" x14ac:dyDescent="0.25"/>
  <cols>
    <col min="1" max="1" width="4.88671875" style="100" bestFit="1" customWidth="1"/>
    <col min="2" max="2" width="10.44140625" style="100" bestFit="1" customWidth="1"/>
    <col min="3" max="3" width="13.5546875" style="100" bestFit="1" customWidth="1"/>
    <col min="4" max="4" width="13.5546875" style="100" customWidth="1"/>
    <col min="5" max="5" width="11.77734375" style="100" customWidth="1"/>
    <col min="6" max="6" width="10.6640625" style="100" customWidth="1"/>
    <col min="7" max="7" width="8.109375" style="100" bestFit="1" customWidth="1"/>
    <col min="8" max="8" width="6.77734375" style="100" bestFit="1" customWidth="1"/>
    <col min="9" max="9" width="8.21875" style="100" bestFit="1" customWidth="1"/>
    <col min="10" max="10" width="8.6640625" style="100" bestFit="1" customWidth="1"/>
    <col min="11" max="11" width="4.77734375" style="100" bestFit="1" customWidth="1"/>
    <col min="12" max="12" width="5.21875" style="100" bestFit="1" customWidth="1"/>
    <col min="13" max="13" width="6" style="100" bestFit="1" customWidth="1"/>
    <col min="14" max="14" width="5.6640625" style="100" bestFit="1" customWidth="1"/>
    <col min="15" max="15" width="5.88671875" style="100" customWidth="1"/>
    <col min="16" max="16" width="14" style="100" bestFit="1" customWidth="1"/>
    <col min="17" max="16384" width="8.88671875" style="100"/>
  </cols>
  <sheetData>
    <row r="1" spans="1:17" s="94" customFormat="1" ht="13.2" x14ac:dyDescent="0.3">
      <c r="A1" s="94" t="s">
        <v>41</v>
      </c>
      <c r="B1" s="94" t="s">
        <v>22</v>
      </c>
      <c r="C1" s="95" t="s">
        <v>259</v>
      </c>
      <c r="D1" s="95" t="s">
        <v>31</v>
      </c>
      <c r="E1" s="96" t="s">
        <v>62</v>
      </c>
      <c r="F1" s="96" t="s">
        <v>4</v>
      </c>
      <c r="G1" s="96" t="s">
        <v>93</v>
      </c>
      <c r="H1" s="95" t="s">
        <v>72</v>
      </c>
      <c r="I1" s="95" t="s">
        <v>188</v>
      </c>
      <c r="J1" s="96" t="s">
        <v>265</v>
      </c>
      <c r="K1" s="94" t="s">
        <v>260</v>
      </c>
      <c r="L1" s="94" t="s">
        <v>6</v>
      </c>
      <c r="M1" s="94" t="s">
        <v>261</v>
      </c>
      <c r="N1" s="94" t="s">
        <v>262</v>
      </c>
      <c r="O1" s="95" t="s">
        <v>10</v>
      </c>
      <c r="P1" s="94" t="s">
        <v>263</v>
      </c>
      <c r="Q1" s="94" t="s">
        <v>264</v>
      </c>
    </row>
    <row r="2" spans="1:17" s="93" customFormat="1" x14ac:dyDescent="0.25">
      <c r="B2" s="93" t="s">
        <v>240</v>
      </c>
      <c r="C2" s="97" t="s">
        <v>241</v>
      </c>
      <c r="D2" s="97" t="s">
        <v>266</v>
      </c>
      <c r="F2" s="98" t="s">
        <v>242</v>
      </c>
      <c r="G2" s="99">
        <v>-158</v>
      </c>
      <c r="H2" s="99">
        <v>-527</v>
      </c>
      <c r="I2" s="98">
        <v>-40</v>
      </c>
      <c r="P2" s="93" t="s">
        <v>243</v>
      </c>
      <c r="Q2" s="93" t="s">
        <v>244</v>
      </c>
    </row>
    <row r="3" spans="1:17" s="93" customFormat="1" x14ac:dyDescent="0.25">
      <c r="B3" s="93" t="s">
        <v>240</v>
      </c>
      <c r="C3" s="97" t="s">
        <v>245</v>
      </c>
      <c r="D3" s="97" t="s">
        <v>267</v>
      </c>
      <c r="F3" s="98" t="s">
        <v>246</v>
      </c>
      <c r="G3" s="99">
        <v>-157</v>
      </c>
      <c r="H3" s="99">
        <v>-529</v>
      </c>
      <c r="I3" s="98">
        <v>-42</v>
      </c>
      <c r="P3" s="93" t="s">
        <v>243</v>
      </c>
      <c r="Q3" s="93" t="s">
        <v>244</v>
      </c>
    </row>
    <row r="4" spans="1:17" s="93" customFormat="1" x14ac:dyDescent="0.25">
      <c r="B4" s="93" t="s">
        <v>240</v>
      </c>
      <c r="C4" s="97" t="s">
        <v>247</v>
      </c>
      <c r="D4" s="97" t="s">
        <v>268</v>
      </c>
      <c r="F4" s="98" t="s">
        <v>248</v>
      </c>
      <c r="G4" s="99">
        <v>-155</v>
      </c>
      <c r="H4" s="99">
        <v>-535</v>
      </c>
      <c r="I4" s="98">
        <v>-45</v>
      </c>
      <c r="P4" s="93" t="s">
        <v>243</v>
      </c>
      <c r="Q4" s="93" t="s">
        <v>244</v>
      </c>
    </row>
    <row r="5" spans="1:17" s="93" customFormat="1" x14ac:dyDescent="0.25">
      <c r="B5" s="93" t="s">
        <v>240</v>
      </c>
      <c r="C5" s="97" t="s">
        <v>249</v>
      </c>
      <c r="D5" s="97" t="s">
        <v>269</v>
      </c>
      <c r="F5" s="98" t="s">
        <v>250</v>
      </c>
      <c r="G5" s="99">
        <v>-158</v>
      </c>
      <c r="H5" s="99">
        <v>-569</v>
      </c>
      <c r="I5" s="98">
        <v>-41</v>
      </c>
      <c r="P5" s="93" t="s">
        <v>243</v>
      </c>
      <c r="Q5" s="93" t="s">
        <v>244</v>
      </c>
    </row>
    <row r="6" spans="1:17" s="93" customFormat="1" x14ac:dyDescent="0.25">
      <c r="B6" s="93" t="s">
        <v>240</v>
      </c>
      <c r="C6" s="97" t="s">
        <v>251</v>
      </c>
      <c r="D6" s="97" t="s">
        <v>270</v>
      </c>
      <c r="F6" s="98" t="s">
        <v>252</v>
      </c>
      <c r="G6" s="99">
        <v>-176.1</v>
      </c>
      <c r="H6" s="99">
        <v>-558</v>
      </c>
      <c r="I6" s="98">
        <v>-43</v>
      </c>
      <c r="P6" s="93" t="s">
        <v>243</v>
      </c>
      <c r="Q6" s="93" t="s">
        <v>244</v>
      </c>
    </row>
    <row r="7" spans="1:17" s="93" customFormat="1" x14ac:dyDescent="0.25">
      <c r="B7" s="93" t="s">
        <v>240</v>
      </c>
      <c r="C7" s="97" t="s">
        <v>253</v>
      </c>
      <c r="D7" s="97" t="s">
        <v>271</v>
      </c>
      <c r="F7" s="98" t="s">
        <v>254</v>
      </c>
      <c r="G7" s="99">
        <v>-185.6</v>
      </c>
      <c r="H7" s="99">
        <v>-517</v>
      </c>
      <c r="I7" s="98">
        <v>-44</v>
      </c>
      <c r="P7" s="93" t="s">
        <v>243</v>
      </c>
      <c r="Q7" s="93" t="s">
        <v>244</v>
      </c>
    </row>
    <row r="8" spans="1:17" s="93" customFormat="1" x14ac:dyDescent="0.25">
      <c r="B8" s="93" t="s">
        <v>240</v>
      </c>
      <c r="C8" s="97" t="s">
        <v>255</v>
      </c>
      <c r="D8" s="97" t="s">
        <v>272</v>
      </c>
      <c r="F8" s="98" t="s">
        <v>256</v>
      </c>
      <c r="G8" s="99" t="s">
        <v>257</v>
      </c>
      <c r="H8" s="99" t="s">
        <v>257</v>
      </c>
      <c r="I8" s="98">
        <v>-40</v>
      </c>
      <c r="P8" s="93" t="s">
        <v>243</v>
      </c>
      <c r="Q8" s="93" t="s">
        <v>244</v>
      </c>
    </row>
    <row r="9" spans="1:17" s="93" customFormat="1" x14ac:dyDescent="0.25">
      <c r="B9" s="93" t="s">
        <v>240</v>
      </c>
      <c r="C9" s="97" t="s">
        <v>258</v>
      </c>
      <c r="D9" s="97" t="s">
        <v>273</v>
      </c>
      <c r="F9" s="98" t="s">
        <v>257</v>
      </c>
      <c r="G9" s="99" t="s">
        <v>257</v>
      </c>
      <c r="H9" s="99">
        <v>-725.6</v>
      </c>
      <c r="I9" s="98">
        <v>-40</v>
      </c>
      <c r="P9" s="93" t="s">
        <v>243</v>
      </c>
      <c r="Q9" s="93" t="s">
        <v>244</v>
      </c>
    </row>
    <row r="10" spans="1:17" ht="14.4" x14ac:dyDescent="0.3">
      <c r="B10" s="100" t="s">
        <v>112</v>
      </c>
      <c r="C10" s="103" t="s">
        <v>283</v>
      </c>
      <c r="D10" s="102" t="s">
        <v>278</v>
      </c>
      <c r="F10" s="104">
        <v>-30.7</v>
      </c>
      <c r="G10" s="104">
        <v>-150</v>
      </c>
      <c r="H10" s="104">
        <v>-442</v>
      </c>
      <c r="I10" s="106">
        <v>-29</v>
      </c>
      <c r="Q10" s="93" t="s">
        <v>244</v>
      </c>
    </row>
    <row r="11" spans="1:17" ht="14.4" x14ac:dyDescent="0.3">
      <c r="B11" s="100" t="s">
        <v>112</v>
      </c>
      <c r="C11" s="103" t="s">
        <v>283</v>
      </c>
      <c r="D11" s="102" t="s">
        <v>279</v>
      </c>
      <c r="F11" s="104">
        <v>-31.5</v>
      </c>
      <c r="G11" s="104">
        <v>-155</v>
      </c>
      <c r="H11" s="105"/>
      <c r="I11" s="106">
        <v>-29</v>
      </c>
      <c r="Q11" s="93" t="s">
        <v>244</v>
      </c>
    </row>
    <row r="12" spans="1:17" ht="14.4" x14ac:dyDescent="0.3">
      <c r="B12" s="100" t="s">
        <v>112</v>
      </c>
      <c r="C12" s="103" t="s">
        <v>283</v>
      </c>
      <c r="D12" s="102" t="s">
        <v>280</v>
      </c>
      <c r="F12" s="104">
        <v>-38</v>
      </c>
      <c r="G12" s="104">
        <v>-155</v>
      </c>
      <c r="H12" s="104">
        <v>-472</v>
      </c>
      <c r="I12" s="106">
        <v>-29</v>
      </c>
      <c r="Q12" s="93" t="s">
        <v>244</v>
      </c>
    </row>
    <row r="13" spans="1:17" ht="14.4" x14ac:dyDescent="0.3">
      <c r="B13" s="100" t="s">
        <v>112</v>
      </c>
      <c r="C13" s="103" t="s">
        <v>283</v>
      </c>
      <c r="D13" s="102" t="s">
        <v>281</v>
      </c>
      <c r="F13" s="104">
        <v>-31.3</v>
      </c>
      <c r="G13" s="104">
        <v>-156</v>
      </c>
      <c r="H13" s="104">
        <v>-489</v>
      </c>
      <c r="I13" s="106">
        <v>-29</v>
      </c>
      <c r="Q13" s="93" t="s">
        <v>244</v>
      </c>
    </row>
    <row r="14" spans="1:17" ht="14.4" x14ac:dyDescent="0.3">
      <c r="B14" s="100" t="s">
        <v>112</v>
      </c>
      <c r="C14" s="103" t="s">
        <v>283</v>
      </c>
      <c r="D14" s="102" t="s">
        <v>282</v>
      </c>
      <c r="F14" s="104">
        <v>-37.5</v>
      </c>
      <c r="G14" s="104">
        <v>-148</v>
      </c>
      <c r="H14" s="105"/>
      <c r="I14" s="106">
        <v>-29</v>
      </c>
      <c r="Q14" s="93" t="s">
        <v>244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BFD4-7166-42B4-BB9E-BAE528E22586}">
  <dimension ref="A1:V10"/>
  <sheetViews>
    <sheetView topLeftCell="C1" workbookViewId="0">
      <selection activeCell="L15" sqref="L15"/>
    </sheetView>
  </sheetViews>
  <sheetFormatPr defaultRowHeight="14.4" x14ac:dyDescent="0.3"/>
  <cols>
    <col min="2" max="2" width="13.5546875" customWidth="1"/>
    <col min="3" max="3" width="15.44140625" customWidth="1"/>
    <col min="4" max="4" width="7.88671875" customWidth="1"/>
    <col min="5" max="5" width="7.6640625" customWidth="1"/>
    <col min="6" max="6" width="7.44140625" customWidth="1"/>
    <col min="7" max="7" width="7.21875" customWidth="1"/>
    <col min="8" max="8" width="7.109375" customWidth="1"/>
    <col min="9" max="9" width="7.33203125" customWidth="1"/>
    <col min="13" max="13" width="9.77734375" customWidth="1"/>
    <col min="14" max="14" width="10" customWidth="1"/>
    <col min="19" max="19" width="10.6640625" customWidth="1"/>
    <col min="20" max="20" width="9.6640625" customWidth="1"/>
    <col min="21" max="21" width="7.5546875" customWidth="1"/>
  </cols>
  <sheetData>
    <row r="1" spans="1:22" s="3" customFormat="1" x14ac:dyDescent="0.3">
      <c r="A1" s="1" t="s">
        <v>22</v>
      </c>
      <c r="B1" s="1" t="s">
        <v>11</v>
      </c>
      <c r="C1" s="1" t="s">
        <v>41</v>
      </c>
      <c r="D1" s="1" t="s">
        <v>31</v>
      </c>
      <c r="E1" s="1" t="s">
        <v>30</v>
      </c>
      <c r="F1" s="1" t="s">
        <v>0</v>
      </c>
      <c r="G1" s="1" t="s">
        <v>3</v>
      </c>
      <c r="H1" s="1" t="s">
        <v>1</v>
      </c>
      <c r="I1" s="1" t="s">
        <v>2</v>
      </c>
      <c r="J1" s="10" t="s">
        <v>72</v>
      </c>
      <c r="K1" s="1" t="s">
        <v>93</v>
      </c>
      <c r="L1" s="10" t="s">
        <v>87</v>
      </c>
      <c r="M1" s="1" t="s">
        <v>62</v>
      </c>
      <c r="N1" s="1" t="s">
        <v>4</v>
      </c>
      <c r="O1" s="1" t="s">
        <v>5</v>
      </c>
      <c r="P1" s="1" t="s">
        <v>6</v>
      </c>
      <c r="Q1" s="1" t="s">
        <v>8</v>
      </c>
      <c r="R1" s="1" t="s">
        <v>12</v>
      </c>
      <c r="S1" s="1" t="s">
        <v>9</v>
      </c>
      <c r="T1" s="4" t="s">
        <v>7</v>
      </c>
      <c r="U1" s="1" t="s">
        <v>10</v>
      </c>
      <c r="V1" s="1" t="s">
        <v>24</v>
      </c>
    </row>
    <row r="2" spans="1:22" x14ac:dyDescent="0.3">
      <c r="A2" t="s">
        <v>23</v>
      </c>
      <c r="B2" t="s">
        <v>13</v>
      </c>
      <c r="C2" s="5" t="s">
        <v>42</v>
      </c>
      <c r="D2" t="s">
        <v>32</v>
      </c>
      <c r="E2" t="s">
        <v>26</v>
      </c>
      <c r="F2" s="2">
        <v>36.07</v>
      </c>
      <c r="G2" s="2">
        <v>50.25</v>
      </c>
      <c r="H2" s="2">
        <v>13.68</v>
      </c>
      <c r="I2" s="2">
        <v>0</v>
      </c>
      <c r="J2" s="2"/>
      <c r="K2" s="2"/>
      <c r="L2" s="2"/>
      <c r="N2">
        <v>-32.4</v>
      </c>
      <c r="O2" s="2">
        <v>6.4</v>
      </c>
      <c r="P2" s="2">
        <v>13.03</v>
      </c>
      <c r="Q2" s="2">
        <v>3.37</v>
      </c>
      <c r="R2" s="2">
        <v>0.33</v>
      </c>
      <c r="S2" s="2">
        <v>308.60000000000002</v>
      </c>
      <c r="T2" s="2">
        <f>O2/P2</f>
        <v>0.49117421335379896</v>
      </c>
      <c r="U2" s="2">
        <v>0.43</v>
      </c>
      <c r="V2" t="s">
        <v>25</v>
      </c>
    </row>
    <row r="3" spans="1:22" x14ac:dyDescent="0.3">
      <c r="A3" t="s">
        <v>23</v>
      </c>
      <c r="B3" t="s">
        <v>14</v>
      </c>
      <c r="C3" s="5" t="s">
        <v>42</v>
      </c>
      <c r="D3" t="s">
        <v>33</v>
      </c>
      <c r="E3" t="s">
        <v>26</v>
      </c>
      <c r="F3" s="2">
        <v>32.4</v>
      </c>
      <c r="G3" s="2">
        <v>51.86</v>
      </c>
      <c r="H3" s="2">
        <v>15.74</v>
      </c>
      <c r="I3" s="2">
        <v>0</v>
      </c>
      <c r="J3" s="2"/>
      <c r="K3" s="2"/>
      <c r="L3" s="2"/>
      <c r="O3" s="2">
        <v>3.88</v>
      </c>
      <c r="P3" s="2">
        <v>14.97</v>
      </c>
      <c r="Q3" s="2">
        <v>2.2000000000000002</v>
      </c>
      <c r="R3" s="2">
        <v>0.14000000000000001</v>
      </c>
      <c r="S3" s="2">
        <v>301.2</v>
      </c>
      <c r="T3" s="2">
        <f t="shared" ref="T3:T8" si="0">O3/P3</f>
        <v>0.25918503674014692</v>
      </c>
      <c r="U3" s="2">
        <v>1</v>
      </c>
      <c r="V3" t="s">
        <v>25</v>
      </c>
    </row>
    <row r="4" spans="1:22" x14ac:dyDescent="0.3">
      <c r="A4" t="s">
        <v>23</v>
      </c>
      <c r="B4" t="s">
        <v>15</v>
      </c>
      <c r="C4" s="5" t="s">
        <v>42</v>
      </c>
      <c r="D4" t="s">
        <v>34</v>
      </c>
      <c r="E4" t="s">
        <v>27</v>
      </c>
      <c r="F4" s="2">
        <v>26.81</v>
      </c>
      <c r="G4" s="2">
        <v>61.9</v>
      </c>
      <c r="H4" s="2">
        <v>11.29</v>
      </c>
      <c r="I4" s="2">
        <v>0</v>
      </c>
      <c r="J4" s="2"/>
      <c r="K4" s="2"/>
      <c r="L4" s="2"/>
      <c r="N4">
        <v>-38.5</v>
      </c>
      <c r="O4" s="2">
        <v>3.93</v>
      </c>
      <c r="P4" s="2">
        <v>2.48</v>
      </c>
      <c r="Q4" s="2">
        <v>23.99</v>
      </c>
      <c r="R4" s="2">
        <v>0.47</v>
      </c>
      <c r="S4" s="2">
        <v>315.2</v>
      </c>
      <c r="T4" s="2">
        <f t="shared" si="0"/>
        <v>1.5846774193548387</v>
      </c>
      <c r="U4" s="2">
        <v>1.56</v>
      </c>
      <c r="V4" t="s">
        <v>25</v>
      </c>
    </row>
    <row r="5" spans="1:22" x14ac:dyDescent="0.3">
      <c r="A5" t="s">
        <v>23</v>
      </c>
      <c r="B5" t="s">
        <v>16</v>
      </c>
      <c r="C5" s="5" t="s">
        <v>42</v>
      </c>
      <c r="D5" t="s">
        <v>35</v>
      </c>
      <c r="E5" t="s">
        <v>27</v>
      </c>
      <c r="F5" s="2">
        <v>32.869999999999997</v>
      </c>
      <c r="G5" s="2">
        <v>55.29</v>
      </c>
      <c r="H5" s="2">
        <v>11.54</v>
      </c>
      <c r="I5" s="2">
        <v>0</v>
      </c>
      <c r="J5" s="2"/>
      <c r="K5" s="2"/>
      <c r="L5" s="2"/>
      <c r="N5">
        <v>-34.9</v>
      </c>
      <c r="O5" s="2">
        <v>3.99</v>
      </c>
      <c r="P5" s="2">
        <v>5.86</v>
      </c>
      <c r="Q5" s="2">
        <v>9.9700000000000006</v>
      </c>
      <c r="R5" s="2">
        <v>0.28999999999999998</v>
      </c>
      <c r="S5" s="2">
        <v>301.2</v>
      </c>
      <c r="T5" s="2">
        <f t="shared" si="0"/>
        <v>0.6808873720136519</v>
      </c>
      <c r="U5" s="2">
        <v>1.73</v>
      </c>
      <c r="V5" t="s">
        <v>25</v>
      </c>
    </row>
    <row r="6" spans="1:22" x14ac:dyDescent="0.3">
      <c r="A6" t="s">
        <v>23</v>
      </c>
      <c r="B6" t="s">
        <v>17</v>
      </c>
      <c r="C6" s="5" t="s">
        <v>42</v>
      </c>
      <c r="D6" t="s">
        <v>36</v>
      </c>
      <c r="E6" t="s">
        <v>27</v>
      </c>
      <c r="F6" s="2">
        <v>29.82</v>
      </c>
      <c r="G6" s="2">
        <v>58.92</v>
      </c>
      <c r="H6" s="2">
        <v>11.26</v>
      </c>
      <c r="I6" s="2">
        <v>0</v>
      </c>
      <c r="J6" s="2"/>
      <c r="K6" s="2"/>
      <c r="L6" s="2"/>
      <c r="O6" s="2">
        <v>3.99</v>
      </c>
      <c r="P6" s="2">
        <v>9.5500000000000007</v>
      </c>
      <c r="Q6" s="2">
        <v>5.08</v>
      </c>
      <c r="R6" s="2">
        <v>0.16</v>
      </c>
      <c r="S6" s="2">
        <v>292.89999999999998</v>
      </c>
      <c r="T6" s="2">
        <f t="shared" si="0"/>
        <v>0.41780104712041882</v>
      </c>
      <c r="U6" s="2">
        <v>1.76</v>
      </c>
      <c r="V6" t="s">
        <v>25</v>
      </c>
    </row>
    <row r="7" spans="1:22" x14ac:dyDescent="0.3">
      <c r="A7" t="s">
        <v>23</v>
      </c>
      <c r="B7" t="s">
        <v>18</v>
      </c>
      <c r="C7" s="5" t="s">
        <v>43</v>
      </c>
      <c r="D7" t="s">
        <v>37</v>
      </c>
      <c r="E7" t="s">
        <v>28</v>
      </c>
      <c r="F7" s="2">
        <v>0</v>
      </c>
      <c r="G7" s="2">
        <v>97.22</v>
      </c>
      <c r="H7" s="2">
        <v>2.73</v>
      </c>
      <c r="I7" s="2">
        <v>0</v>
      </c>
      <c r="J7" s="2"/>
      <c r="K7" s="2"/>
      <c r="L7" s="2"/>
      <c r="N7">
        <v>-39</v>
      </c>
      <c r="O7" s="2">
        <v>320.92</v>
      </c>
      <c r="P7" s="2">
        <v>10.39</v>
      </c>
      <c r="Q7" s="2">
        <v>3.42</v>
      </c>
      <c r="R7" s="2">
        <v>0.33</v>
      </c>
      <c r="S7" s="2">
        <v>312.60000000000002</v>
      </c>
      <c r="T7" s="2">
        <f t="shared" si="0"/>
        <v>30.887391722810396</v>
      </c>
      <c r="U7" s="2">
        <v>7.0000000000000007E-2</v>
      </c>
      <c r="V7" t="s">
        <v>25</v>
      </c>
    </row>
    <row r="8" spans="1:22" x14ac:dyDescent="0.3">
      <c r="A8" t="s">
        <v>23</v>
      </c>
      <c r="B8" t="s">
        <v>19</v>
      </c>
      <c r="C8" s="5" t="s">
        <v>43</v>
      </c>
      <c r="D8" t="s">
        <v>38</v>
      </c>
      <c r="E8" t="s">
        <v>28</v>
      </c>
      <c r="F8" s="2">
        <v>0</v>
      </c>
      <c r="G8" s="2">
        <v>97.29</v>
      </c>
      <c r="H8" s="2">
        <v>2.65</v>
      </c>
      <c r="I8" s="2">
        <v>0</v>
      </c>
      <c r="J8" s="2"/>
      <c r="K8" s="2"/>
      <c r="L8" s="2"/>
      <c r="N8">
        <v>-39.5</v>
      </c>
      <c r="O8" s="2">
        <v>99.37</v>
      </c>
      <c r="P8" s="2">
        <v>11.05</v>
      </c>
      <c r="Q8" s="2">
        <v>13.3</v>
      </c>
      <c r="R8" s="2">
        <v>1.48</v>
      </c>
      <c r="S8" s="2">
        <v>304.60000000000002</v>
      </c>
      <c r="T8" s="2">
        <f t="shared" si="0"/>
        <v>8.9927601809954751</v>
      </c>
      <c r="U8" s="2">
        <v>0.06</v>
      </c>
      <c r="V8" t="s">
        <v>25</v>
      </c>
    </row>
    <row r="9" spans="1:22" x14ac:dyDescent="0.3">
      <c r="A9" t="s">
        <v>23</v>
      </c>
      <c r="B9" t="s">
        <v>20</v>
      </c>
      <c r="C9" s="5" t="s">
        <v>43</v>
      </c>
      <c r="D9" t="s">
        <v>39</v>
      </c>
      <c r="E9" t="s">
        <v>29</v>
      </c>
      <c r="F9" s="2">
        <v>9.5000000000000001E-2</v>
      </c>
      <c r="G9" s="2">
        <v>93.09</v>
      </c>
      <c r="H9" s="2">
        <v>5.0599999999999996</v>
      </c>
      <c r="I9" s="2">
        <v>1.75</v>
      </c>
      <c r="J9" s="2"/>
      <c r="K9" s="2"/>
      <c r="L9" s="2"/>
      <c r="N9">
        <v>-12.1</v>
      </c>
      <c r="T9" s="2"/>
      <c r="V9" t="s">
        <v>25</v>
      </c>
    </row>
    <row r="10" spans="1:22" x14ac:dyDescent="0.3">
      <c r="A10" t="s">
        <v>23</v>
      </c>
      <c r="B10" t="s">
        <v>21</v>
      </c>
      <c r="C10" s="5" t="s">
        <v>43</v>
      </c>
      <c r="D10" t="s">
        <v>40</v>
      </c>
      <c r="E10" t="s">
        <v>29</v>
      </c>
      <c r="F10" s="2">
        <v>0</v>
      </c>
      <c r="G10" s="2">
        <v>91.39</v>
      </c>
      <c r="H10" s="2">
        <v>8.51</v>
      </c>
      <c r="I10" s="2">
        <v>0.1</v>
      </c>
      <c r="J10" s="2"/>
      <c r="K10" s="2"/>
      <c r="L10" s="2"/>
      <c r="N10">
        <v>-16.399999999999999</v>
      </c>
      <c r="T10" s="2"/>
      <c r="V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Serpent.Contexts_plot</vt:lpstr>
      <vt:lpstr>Serpent.Contexts</vt:lpstr>
      <vt:lpstr>VolcanicContexts</vt:lpstr>
      <vt:lpstr>Deville and Prinzhofer., 2016</vt:lpstr>
    </vt:vector>
  </TitlesOfParts>
  <Company>UPPA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La Paix Izerumugaba</dc:creator>
  <cp:lastModifiedBy>Jean De La Paix Izerumugaba</cp:lastModifiedBy>
  <dcterms:created xsi:type="dcterms:W3CDTF">2024-11-27T15:53:44Z</dcterms:created>
  <dcterms:modified xsi:type="dcterms:W3CDTF">2025-10-19T17:24:41Z</dcterms:modified>
</cp:coreProperties>
</file>