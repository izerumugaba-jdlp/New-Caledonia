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DOCS_msi\PhD@UniPau\2. GCA-ARTICLE-NewCald-REVIEWS\Python_GCA-Article_New Caledonia\"/>
    </mc:Choice>
  </mc:AlternateContent>
  <xr:revisionPtr revIDLastSave="0" documentId="13_ncr:1_{623FB201-153C-4D20-AB4A-C468E27BC674}" xr6:coauthVersionLast="47" xr6:coauthVersionMax="47" xr10:uidLastSave="{00000000-0000-0000-0000-000000000000}"/>
  <bookViews>
    <workbookView xWindow="28680" yWindow="-120" windowWidth="29040" windowHeight="15720" xr2:uid="{D8B181CC-79AB-4366-AF15-096702FAA380}"/>
  </bookViews>
  <sheets>
    <sheet name="og_file" sheetId="2" r:id="rId1"/>
    <sheet name="CO2He" sheetId="4" r:id="rId2"/>
    <sheet name="dtails" sheetId="1" r:id="rId3"/>
    <sheet name="morendmembers" sheetId="3" r:id="rId4"/>
    <sheet name="SW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Z13" i="2" l="1"/>
  <c r="Z8" i="2" l="1"/>
  <c r="Z12" i="2"/>
  <c r="Z11" i="2"/>
  <c r="Z5" i="2"/>
  <c r="Z2" i="2"/>
  <c r="Y12" i="2" l="1"/>
  <c r="Y11" i="2"/>
  <c r="Y5" i="2"/>
  <c r="B74" i="1"/>
  <c r="B73" i="1"/>
  <c r="T10" i="2" l="1"/>
  <c r="E8" i="5"/>
  <c r="F8" i="5"/>
  <c r="G8" i="5"/>
  <c r="D8" i="5"/>
  <c r="C2" i="2" l="1"/>
  <c r="E2" i="2"/>
  <c r="D2" i="2"/>
  <c r="H2" i="2"/>
  <c r="N7" i="2" l="1"/>
  <c r="N6" i="2"/>
  <c r="N5" i="2"/>
  <c r="G5" i="2"/>
  <c r="I2" i="2" l="1"/>
  <c r="H5" i="2"/>
  <c r="I5" i="2" s="1"/>
  <c r="G2" i="2" l="1"/>
  <c r="F5" i="2"/>
  <c r="F2" i="2"/>
  <c r="J5" i="2"/>
  <c r="M5" i="2" s="1"/>
  <c r="L5" i="2" s="1"/>
  <c r="J2" i="2"/>
  <c r="M2" i="2" s="1"/>
  <c r="L2" i="2" s="1"/>
  <c r="V5" i="2" l="1"/>
  <c r="K5" i="2"/>
  <c r="V2" i="2"/>
  <c r="K2" i="2"/>
  <c r="N4" i="2"/>
  <c r="N3" i="2"/>
  <c r="N2" i="2"/>
</calcChain>
</file>

<file path=xl/sharedStrings.xml><?xml version="1.0" encoding="utf-8"?>
<sst xmlns="http://schemas.openxmlformats.org/spreadsheetml/2006/main" count="287" uniqueCount="168">
  <si>
    <t>Atmosphere</t>
  </si>
  <si>
    <t>He</t>
  </si>
  <si>
    <t>3He/4He</t>
  </si>
  <si>
    <t>1.4*10^-6</t>
  </si>
  <si>
    <t>Ne</t>
  </si>
  <si>
    <t>20Ne/22Ne</t>
  </si>
  <si>
    <t>21Ne/22Ne</t>
  </si>
  <si>
    <t>Manteau sup</t>
  </si>
  <si>
    <t>Ar</t>
  </si>
  <si>
    <t>5.24 ppmv</t>
  </si>
  <si>
    <t>18.18 ppmv</t>
  </si>
  <si>
    <t>40Ar/36Ar</t>
  </si>
  <si>
    <t>38Ar/36Ar</t>
  </si>
  <si>
    <t>Kunz 1999</t>
  </si>
  <si>
    <t>same value as not modified by nuclear rxs</t>
  </si>
  <si>
    <t>Crust cont</t>
  </si>
  <si>
    <t>1 to 3*10^-8</t>
  </si>
  <si>
    <t>Max value</t>
  </si>
  <si>
    <t>Manteau Inf</t>
  </si>
  <si>
    <t>32Ra</t>
  </si>
  <si>
    <t>value</t>
  </si>
  <si>
    <t>Reference</t>
  </si>
  <si>
    <t>Comment</t>
  </si>
  <si>
    <t>Type solaire</t>
  </si>
  <si>
    <t>Max value, assuming a solar 20Ne/22Ne</t>
  </si>
  <si>
    <t>Moreira et al., 1998</t>
  </si>
  <si>
    <t>Staudacher et al., 1989</t>
  </si>
  <si>
    <t>ASW</t>
  </si>
  <si>
    <t>20Ne/36Ar</t>
  </si>
  <si>
    <t>value at recharge, fresh water in eq with atm.</t>
  </si>
  <si>
    <t>Battani 1999</t>
  </si>
  <si>
    <t>MORB</t>
  </si>
  <si>
    <t>OIB</t>
  </si>
  <si>
    <t>30Ra</t>
  </si>
  <si>
    <t>Graham, 2002</t>
  </si>
  <si>
    <t>0.02Ra</t>
  </si>
  <si>
    <t>Graham., 2002</t>
  </si>
  <si>
    <t>Max. @Iceland, Hawai
--&gt; mantle plumes from deep earth!</t>
  </si>
  <si>
    <t>4He/20Ne</t>
  </si>
  <si>
    <t>ideal value</t>
  </si>
  <si>
    <t>Sarda et al., 1988; Ballentine,1997; 
Ballentine and Burnard, 2002</t>
  </si>
  <si>
    <t>Ballentine,1997; Ballentine and Burnard, 2002</t>
  </si>
  <si>
    <t>ideal</t>
  </si>
  <si>
    <t>Lee et al., 2006</t>
  </si>
  <si>
    <t>Magmatic fluid</t>
  </si>
  <si>
    <t>CO2/3He</t>
  </si>
  <si>
    <t>10^9, 10^10</t>
  </si>
  <si>
    <t>if lower, loss of CO2, dilution by CH4, N2</t>
  </si>
  <si>
    <t>20Ne/22Nemax</t>
  </si>
  <si>
    <t>21Ne/22Nemax</t>
  </si>
  <si>
    <t xml:space="preserve"> </t>
  </si>
  <si>
    <t>atmosphere</t>
  </si>
  <si>
    <t>mantlesup</t>
  </si>
  <si>
    <t>mantleinf</t>
  </si>
  <si>
    <t>He (ppmv)</t>
  </si>
  <si>
    <t>Ra</t>
  </si>
  <si>
    <t>sclm</t>
  </si>
  <si>
    <t>Max?</t>
  </si>
  <si>
    <t>4He/40Ar</t>
  </si>
  <si>
    <t>R/Ra</t>
  </si>
  <si>
    <t>4He/36Ar</t>
  </si>
  <si>
    <t>Air</t>
  </si>
  <si>
    <t>3He</t>
  </si>
  <si>
    <t>4He</t>
  </si>
  <si>
    <t>20Ne</t>
  </si>
  <si>
    <t>5.2*10**-6</t>
  </si>
  <si>
    <t>3*10**-7</t>
  </si>
  <si>
    <t>16.3*10**-6</t>
  </si>
  <si>
    <t>7.336*10**-12</t>
  </si>
  <si>
    <t>1.344*10**-11</t>
  </si>
  <si>
    <t>3*10**-11</t>
  </si>
  <si>
    <t>Mantleinf</t>
  </si>
  <si>
    <t>item</t>
  </si>
  <si>
    <t>Environment</t>
  </si>
  <si>
    <t>Label</t>
  </si>
  <si>
    <t>cont. crust</t>
  </si>
  <si>
    <t>36Ar</t>
  </si>
  <si>
    <t>1/20Ne</t>
  </si>
  <si>
    <t>1/36Ar</t>
  </si>
  <si>
    <t>MFL</t>
  </si>
  <si>
    <t>Ne (m/m)</t>
  </si>
  <si>
    <t>Ar(m/m)</t>
  </si>
  <si>
    <t>Sano et al 1985</t>
  </si>
  <si>
    <t>plot 40Ar/36Ar vs 38Ar/36Ar</t>
  </si>
  <si>
    <t>Nier., 1950; Steiger et Jager 1977, Sano et al,. 1985</t>
  </si>
  <si>
    <t>Erbehat., 1956; Ballentine.,1997; Sano et al,. 1985</t>
  </si>
  <si>
    <t>Sano, 1983; Sano and Wakita, 1985</t>
  </si>
  <si>
    <t>35.7Ra</t>
  </si>
  <si>
    <t>Sano et al., 1985 and references in</t>
  </si>
  <si>
    <t>Plume type</t>
  </si>
  <si>
    <t>Subduction type</t>
  </si>
  <si>
    <t>5.7Ra</t>
  </si>
  <si>
    <t>d13C-CO2</t>
  </si>
  <si>
    <t>Limestone</t>
  </si>
  <si>
    <t>Sediment</t>
  </si>
  <si>
    <t>10^13</t>
  </si>
  <si>
    <t>21Ne</t>
  </si>
  <si>
    <t>solarwind</t>
  </si>
  <si>
    <t>22Ne</t>
  </si>
  <si>
    <t xml:space="preserve">Sample no. </t>
  </si>
  <si>
    <t xml:space="preserve">4-2. .................. </t>
  </si>
  <si>
    <t xml:space="preserve">4-4a .................. </t>
  </si>
  <si>
    <t xml:space="preserve">4-5. .................. </t>
  </si>
  <si>
    <t>5-1. ..................</t>
  </si>
  <si>
    <t xml:space="preserve">4He/3He </t>
  </si>
  <si>
    <t xml:space="preserve">20Ne/36Ar </t>
  </si>
  <si>
    <t xml:space="preserve">4He/20Ne </t>
  </si>
  <si>
    <r>
      <t>Area, 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</t>
    </r>
  </si>
  <si>
    <r>
      <t>4He concentration, 
*10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 xml:space="preserve"> atoms/cm2</t>
    </r>
  </si>
  <si>
    <t xml:space="preserve">20Ne/22Ne </t>
  </si>
  <si>
    <t>Average value</t>
  </si>
  <si>
    <t>values put in the og file are averages calculated from data of Geiss et al 1972</t>
  </si>
  <si>
    <t>20Ne/21Ne</t>
  </si>
  <si>
    <t>Kallenbach et al., 1997</t>
  </si>
  <si>
    <t>Geiss et al 1972</t>
  </si>
  <si>
    <t>13.7±0.3</t>
  </si>
  <si>
    <t>13.8±0.7</t>
  </si>
  <si>
    <t>420±50</t>
  </si>
  <si>
    <t>440±110</t>
  </si>
  <si>
    <t xml:space="preserve">4-3a.. ................ </t>
  </si>
  <si>
    <t>SWC</t>
  </si>
  <si>
    <t>sediment</t>
  </si>
  <si>
    <t>limestone</t>
  </si>
  <si>
    <t>d13C_CO2</t>
  </si>
  <si>
    <t>Sano and wakita 1985</t>
  </si>
  <si>
    <t>1.5*10^9</t>
  </si>
  <si>
    <t>These values are from Sano and Marty.; (1995)</t>
  </si>
  <si>
    <t xml:space="preserve">3He </t>
  </si>
  <si>
    <t>SCLM</t>
  </si>
  <si>
    <t>5.2 - 7.1 Ra</t>
  </si>
  <si>
    <t>Gautheron and Moreira, 2002</t>
  </si>
  <si>
    <t>CIAV</t>
  </si>
  <si>
    <t>5.3 - 6.7 Ra</t>
  </si>
  <si>
    <t>Sano and wikita., 1985</t>
  </si>
  <si>
    <t>1E+07.7</t>
  </si>
  <si>
    <t>1E+09.6</t>
  </si>
  <si>
    <t>Minissale et al. 1997a</t>
  </si>
  <si>
    <t>1.00E+7.7</t>
  </si>
  <si>
    <t>1.00E+9.6</t>
  </si>
  <si>
    <t>(CO2/3He)sc</t>
  </si>
  <si>
    <t>scientific 
notation</t>
  </si>
  <si>
    <t xml:space="preserve">Kurz., 1982; Staudacher et al., 1994; Graham, 2002. </t>
  </si>
  <si>
    <t>8Ra (±1)</t>
  </si>
  <si>
    <t>HIMU</t>
  </si>
  <si>
    <t>AIR</t>
  </si>
  <si>
    <t>d15N</t>
  </si>
  <si>
    <t xml:space="preserve">Labidi et al., 2020? </t>
  </si>
  <si>
    <t>6.5 to 7.5</t>
  </si>
  <si>
    <t>-5.5 to -4.5</t>
  </si>
  <si>
    <t>Fischer et al., 2002</t>
  </si>
  <si>
    <t>N2/He</t>
  </si>
  <si>
    <t>N2</t>
  </si>
  <si>
    <t>Note 54 in article</t>
  </si>
  <si>
    <t>generaly known (air concentarion)</t>
  </si>
  <si>
    <t>Sano and wakita 1985, Ozima and Podosek (2002)</t>
  </si>
  <si>
    <t>d15N_m</t>
  </si>
  <si>
    <t>d15N_ac</t>
  </si>
  <si>
    <t>Sed.</t>
  </si>
  <si>
    <t>N2/Ar</t>
  </si>
  <si>
    <t>Kipfer et al., 2002; Barry et al., 2013; Y Li et al., 2022</t>
  </si>
  <si>
    <t>87Sr/86Sr</t>
  </si>
  <si>
    <t>87/86Sr</t>
  </si>
  <si>
    <t>Marteli et al., 2004</t>
  </si>
  <si>
    <t>HIMU type</t>
  </si>
  <si>
    <t>Martelli et al., 2004; Etna-like</t>
  </si>
  <si>
    <t xml:space="preserve">Porcelli et al., 2002; Equatorial Atlantic </t>
  </si>
  <si>
    <t>C.Crust</t>
  </si>
  <si>
    <t>err_d15N_m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</si>
</sst>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0" fillId="0" borderId="1" xfId="0" applyNumberFormat="1" applyBorder="1" applyAlignment="1">
      <alignment horizontal="right"/>
    </xf>
    <xf numFmtId="11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 vertical="center"/>
    </xf>
    <xf numFmtId="0" fontId="0" fillId="0" borderId="0" xfId="0" quotePrefix="1"/>
    <xf numFmtId="11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45B1-E7A3-4197-8E2F-FD18618F6072}">
  <dimension ref="A1:AJ29"/>
  <sheetViews>
    <sheetView tabSelected="1" zoomScale="115" zoomScaleNormal="11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AC15" sqref="AC15"/>
    </sheetView>
  </sheetViews>
  <sheetFormatPr defaultRowHeight="15" x14ac:dyDescent="0.25"/>
  <cols>
    <col min="1" max="1" width="13.28515625" style="1" customWidth="1"/>
    <col min="2" max="2" width="10.5703125" style="3" customWidth="1"/>
    <col min="3" max="7" width="9.85546875" customWidth="1"/>
    <col min="10" max="10" width="10" bestFit="1" customWidth="1"/>
    <col min="11" max="13" width="10" customWidth="1"/>
    <col min="14" max="14" width="13" customWidth="1"/>
    <col min="15" max="18" width="9.85546875" customWidth="1"/>
    <col min="19" max="20" width="10.42578125" bestFit="1" customWidth="1"/>
    <col min="21" max="22" width="10.42578125" customWidth="1"/>
    <col min="23" max="24" width="9.85546875" customWidth="1"/>
    <col min="25" max="25" width="11" bestFit="1" customWidth="1"/>
    <col min="26" max="26" width="11" customWidth="1"/>
    <col min="27" max="27" width="9.7109375" bestFit="1" customWidth="1"/>
    <col min="29" max="29" width="12.85546875" customWidth="1"/>
    <col min="31" max="31" width="9.5703125" bestFit="1" customWidth="1"/>
  </cols>
  <sheetData>
    <row r="1" spans="1:36" s="35" customFormat="1" x14ac:dyDescent="0.25">
      <c r="A1" s="34" t="s">
        <v>73</v>
      </c>
      <c r="B1" s="34" t="s">
        <v>74</v>
      </c>
      <c r="C1" s="34" t="s">
        <v>54</v>
      </c>
      <c r="D1" s="34" t="s">
        <v>80</v>
      </c>
      <c r="E1" s="34" t="s">
        <v>81</v>
      </c>
      <c r="F1" s="34" t="s">
        <v>62</v>
      </c>
      <c r="G1" s="34" t="s">
        <v>63</v>
      </c>
      <c r="H1" s="34" t="s">
        <v>76</v>
      </c>
      <c r="I1" s="34" t="s">
        <v>78</v>
      </c>
      <c r="J1" s="34" t="s">
        <v>64</v>
      </c>
      <c r="K1" s="34" t="s">
        <v>77</v>
      </c>
      <c r="L1" s="34" t="s">
        <v>96</v>
      </c>
      <c r="M1" s="34" t="s">
        <v>98</v>
      </c>
      <c r="N1" s="34" t="s">
        <v>2</v>
      </c>
      <c r="O1" s="34" t="s">
        <v>59</v>
      </c>
      <c r="P1" s="34" t="s">
        <v>38</v>
      </c>
      <c r="Q1" s="34" t="s">
        <v>60</v>
      </c>
      <c r="R1" s="34" t="s">
        <v>58</v>
      </c>
      <c r="S1" s="34" t="s">
        <v>5</v>
      </c>
      <c r="T1" s="34" t="s">
        <v>6</v>
      </c>
      <c r="U1" s="34" t="s">
        <v>112</v>
      </c>
      <c r="V1" s="34" t="s">
        <v>28</v>
      </c>
      <c r="W1" s="34" t="s">
        <v>11</v>
      </c>
      <c r="X1" s="34" t="s">
        <v>12</v>
      </c>
      <c r="Y1" s="34" t="s">
        <v>139</v>
      </c>
      <c r="Z1" s="34" t="s">
        <v>45</v>
      </c>
      <c r="AA1" s="34" t="s">
        <v>123</v>
      </c>
      <c r="AB1" s="35" t="s">
        <v>155</v>
      </c>
      <c r="AC1" s="35" t="s">
        <v>167</v>
      </c>
      <c r="AD1" s="35" t="s">
        <v>156</v>
      </c>
      <c r="AE1" s="35" t="s">
        <v>150</v>
      </c>
      <c r="AF1" s="35" t="s">
        <v>151</v>
      </c>
      <c r="AG1" s="35" t="s">
        <v>63</v>
      </c>
      <c r="AH1" s="35" t="s">
        <v>1</v>
      </c>
      <c r="AI1" s="35" t="s">
        <v>158</v>
      </c>
      <c r="AJ1" s="35" t="s">
        <v>160</v>
      </c>
    </row>
    <row r="2" spans="1:36" x14ac:dyDescent="0.25">
      <c r="A2" s="14" t="s">
        <v>51</v>
      </c>
      <c r="B2" s="20" t="s">
        <v>144</v>
      </c>
      <c r="C2" s="16">
        <f>5.24*10^-6</f>
        <v>5.2399999999999998E-6</v>
      </c>
      <c r="D2" s="16">
        <f>18.18*10^-6</f>
        <v>1.8179999999999999E-5</v>
      </c>
      <c r="E2" s="17">
        <f>9340*10^-6</f>
        <v>9.3399999999999993E-3</v>
      </c>
      <c r="F2" s="16">
        <f>7.3*10^-12</f>
        <v>7.3E-12</v>
      </c>
      <c r="G2" s="16">
        <f>5.2*10^-6</f>
        <v>5.2000000000000002E-6</v>
      </c>
      <c r="H2" s="15">
        <f>9340*10^-6</f>
        <v>9.3399999999999993E-3</v>
      </c>
      <c r="I2" s="15">
        <f>1/H2</f>
        <v>107.06638115631692</v>
      </c>
      <c r="J2" s="16">
        <f>16.3*10^-6</f>
        <v>1.63E-5</v>
      </c>
      <c r="K2" s="16">
        <f>1/J2</f>
        <v>61349.693251533747</v>
      </c>
      <c r="L2" s="16">
        <f>T2*M2</f>
        <v>4.8234693877551014E-8</v>
      </c>
      <c r="M2" s="16">
        <f>J2/S2</f>
        <v>1.6632653061224487E-6</v>
      </c>
      <c r="N2" s="16">
        <f>1*(1.4*10^-6)</f>
        <v>1.3999999999999999E-6</v>
      </c>
      <c r="O2" s="17">
        <v>1</v>
      </c>
      <c r="P2" s="16">
        <v>0.318</v>
      </c>
      <c r="Q2" s="16"/>
      <c r="R2" s="16"/>
      <c r="S2" s="16">
        <v>9.8000000000000007</v>
      </c>
      <c r="T2" s="16">
        <v>2.9000000000000001E-2</v>
      </c>
      <c r="U2" s="16"/>
      <c r="V2" s="16">
        <f>J2/H2</f>
        <v>1.7451820128479658E-3</v>
      </c>
      <c r="W2" s="16">
        <v>298.60000000000002</v>
      </c>
      <c r="X2" s="16">
        <v>0.186</v>
      </c>
      <c r="Y2" s="25" t="s">
        <v>137</v>
      </c>
      <c r="Z2" s="25">
        <f>1*(10^7.7)</f>
        <v>50118723.362727284</v>
      </c>
      <c r="AA2" s="15"/>
      <c r="AB2">
        <v>0</v>
      </c>
      <c r="AD2">
        <v>0</v>
      </c>
      <c r="AE2" s="33">
        <v>148900</v>
      </c>
      <c r="AG2">
        <v>5.2000000000000002E-6</v>
      </c>
      <c r="AH2">
        <v>5.2000000000000002E-6</v>
      </c>
      <c r="AI2">
        <v>83</v>
      </c>
    </row>
    <row r="3" spans="1:36" x14ac:dyDescent="0.25">
      <c r="A3" s="14" t="s">
        <v>75</v>
      </c>
      <c r="B3" s="20" t="s">
        <v>166</v>
      </c>
      <c r="C3" s="18"/>
      <c r="D3" s="16"/>
      <c r="E3" s="16"/>
      <c r="F3" s="16"/>
      <c r="G3" s="16"/>
      <c r="H3" s="15"/>
      <c r="I3" s="15"/>
      <c r="J3" s="16"/>
      <c r="K3" s="16"/>
      <c r="L3" s="16"/>
      <c r="M3" s="16"/>
      <c r="N3" s="16">
        <f>0.02*(1.4*10^-6)</f>
        <v>2.7999999999999999E-8</v>
      </c>
      <c r="O3" s="17">
        <v>0.02</v>
      </c>
      <c r="P3" s="16">
        <v>1000</v>
      </c>
      <c r="Q3" s="16"/>
      <c r="R3" s="16"/>
      <c r="S3" s="16">
        <v>0.3</v>
      </c>
      <c r="T3" s="16">
        <v>0.52</v>
      </c>
      <c r="U3" s="16"/>
      <c r="V3" s="16"/>
      <c r="W3" s="16"/>
      <c r="X3" s="16"/>
      <c r="Y3" s="25"/>
      <c r="Z3" s="25"/>
      <c r="AA3" s="15"/>
      <c r="AB3">
        <v>6</v>
      </c>
      <c r="AC3">
        <v>6.7</v>
      </c>
      <c r="AD3">
        <v>7</v>
      </c>
      <c r="AE3" s="32">
        <v>10500</v>
      </c>
      <c r="AI3">
        <v>1000</v>
      </c>
      <c r="AJ3" s="36">
        <v>0.72</v>
      </c>
    </row>
    <row r="4" spans="1:36" x14ac:dyDescent="0.25">
      <c r="A4" s="14" t="s">
        <v>56</v>
      </c>
      <c r="B4" s="20" t="s">
        <v>128</v>
      </c>
      <c r="C4" s="18"/>
      <c r="D4" s="16"/>
      <c r="E4" s="16"/>
      <c r="F4" s="16"/>
      <c r="G4" s="16"/>
      <c r="H4" s="15"/>
      <c r="I4" s="15"/>
      <c r="J4" s="16"/>
      <c r="K4" s="16"/>
      <c r="L4" s="16"/>
      <c r="M4" s="16"/>
      <c r="N4" s="16">
        <f>6.1*(1.4*10^-6)</f>
        <v>8.5399999999999996E-6</v>
      </c>
      <c r="O4" s="17">
        <v>6.1</v>
      </c>
      <c r="P4" s="16">
        <v>1000</v>
      </c>
      <c r="Q4" s="16"/>
      <c r="R4" s="16"/>
      <c r="S4" s="16">
        <v>11.8</v>
      </c>
      <c r="T4" s="16">
        <v>5.7799999999999997E-2</v>
      </c>
      <c r="U4" s="16"/>
      <c r="V4" s="16"/>
      <c r="W4" s="16"/>
      <c r="X4" s="16"/>
      <c r="Y4" s="25"/>
      <c r="Z4" s="25"/>
      <c r="AA4" s="15"/>
    </row>
    <row r="5" spans="1:36" x14ac:dyDescent="0.25">
      <c r="A5" s="14" t="s">
        <v>52</v>
      </c>
      <c r="B5" s="20" t="s">
        <v>31</v>
      </c>
      <c r="C5" s="25">
        <v>3.9300000000000003E-9</v>
      </c>
      <c r="D5" s="16"/>
      <c r="E5" s="16"/>
      <c r="F5" s="16">
        <f>1.344*10^-11</f>
        <v>1.3439999999999999E-11</v>
      </c>
      <c r="G5" s="16">
        <f>3*10^-7</f>
        <v>2.9999999999999999E-7</v>
      </c>
      <c r="H5" s="15">
        <f>50*10^-11</f>
        <v>4.9999999999999993E-10</v>
      </c>
      <c r="I5" s="15">
        <f>1/H5</f>
        <v>2000000000.0000002</v>
      </c>
      <c r="J5" s="16">
        <f>3*10^-11</f>
        <v>3E-11</v>
      </c>
      <c r="K5" s="16">
        <f t="shared" ref="K5" si="0">1/J5</f>
        <v>33333333333.333332</v>
      </c>
      <c r="L5" s="16">
        <f t="shared" ref="L5" si="1">T5*M5</f>
        <v>1.4399999999999999E-13</v>
      </c>
      <c r="M5" s="16">
        <f t="shared" ref="M5" si="2">J5/S5</f>
        <v>2.3999999999999999E-12</v>
      </c>
      <c r="N5" s="16">
        <f>8*(1.4*10^-6)</f>
        <v>1.1199999999999999E-5</v>
      </c>
      <c r="O5" s="17">
        <v>8</v>
      </c>
      <c r="P5" s="16">
        <v>1000</v>
      </c>
      <c r="Q5" s="16"/>
      <c r="R5" s="16"/>
      <c r="S5" s="16">
        <v>12.5</v>
      </c>
      <c r="T5" s="16">
        <v>0.06</v>
      </c>
      <c r="U5" s="16"/>
      <c r="V5" s="16">
        <f>J5/H5</f>
        <v>6.0000000000000012E-2</v>
      </c>
      <c r="W5" s="16">
        <v>30000</v>
      </c>
      <c r="X5" s="16">
        <v>0.188</v>
      </c>
      <c r="Y5" s="25">
        <f>1.5*10^9</f>
        <v>1500000000</v>
      </c>
      <c r="Z5" s="25">
        <f>1.5*10^9</f>
        <v>1500000000</v>
      </c>
      <c r="AA5" s="15">
        <v>-6.5</v>
      </c>
      <c r="AB5">
        <v>-5</v>
      </c>
      <c r="AC5">
        <v>2</v>
      </c>
      <c r="AD5">
        <v>-5</v>
      </c>
      <c r="AE5" s="32">
        <v>150</v>
      </c>
      <c r="AI5">
        <v>1000</v>
      </c>
      <c r="AJ5">
        <v>0.70209999999999995</v>
      </c>
    </row>
    <row r="6" spans="1:36" x14ac:dyDescent="0.25">
      <c r="A6" s="14" t="s">
        <v>53</v>
      </c>
      <c r="B6" s="20" t="s">
        <v>53</v>
      </c>
      <c r="C6" s="16"/>
      <c r="D6" s="16"/>
      <c r="E6" s="16"/>
      <c r="F6" s="16"/>
      <c r="G6" s="16"/>
      <c r="H6" s="15"/>
      <c r="I6" s="15"/>
      <c r="J6" s="16"/>
      <c r="K6" s="16"/>
      <c r="L6" s="16"/>
      <c r="M6" s="16"/>
      <c r="N6" s="16">
        <f>32*(1.4*10^-6)</f>
        <v>4.4799999999999998E-5</v>
      </c>
      <c r="O6" s="17">
        <v>32</v>
      </c>
      <c r="P6" s="16">
        <v>1000</v>
      </c>
      <c r="Q6" s="16"/>
      <c r="R6" s="16"/>
      <c r="S6" s="16"/>
      <c r="T6" s="16"/>
      <c r="U6" s="16"/>
      <c r="V6" s="16"/>
      <c r="W6" s="16"/>
      <c r="X6" s="16"/>
      <c r="Y6" s="25"/>
      <c r="Z6" s="25"/>
      <c r="AA6" s="15"/>
    </row>
    <row r="7" spans="1:36" x14ac:dyDescent="0.25">
      <c r="A7" s="14" t="s">
        <v>32</v>
      </c>
      <c r="B7" s="20" t="s">
        <v>32</v>
      </c>
      <c r="C7" s="16"/>
      <c r="D7" s="19"/>
      <c r="E7" s="19"/>
      <c r="F7" s="19"/>
      <c r="G7" s="19"/>
      <c r="H7" s="15"/>
      <c r="I7" s="15"/>
      <c r="J7" s="16"/>
      <c r="K7" s="16"/>
      <c r="L7" s="16"/>
      <c r="M7" s="16"/>
      <c r="N7" s="19">
        <f>30*(1.4*10^-6)</f>
        <v>4.1999999999999998E-5</v>
      </c>
      <c r="O7" s="30">
        <v>30</v>
      </c>
      <c r="P7" s="16"/>
      <c r="Q7" s="16"/>
      <c r="R7" s="16"/>
      <c r="S7" s="19"/>
      <c r="T7" s="19"/>
      <c r="U7" s="19"/>
      <c r="V7" s="16"/>
      <c r="W7" s="19"/>
      <c r="X7" s="16"/>
      <c r="Y7" s="25"/>
      <c r="Z7" s="25"/>
      <c r="AA7" s="15"/>
    </row>
    <row r="8" spans="1:36" x14ac:dyDescent="0.25">
      <c r="A8" s="14" t="s">
        <v>27</v>
      </c>
      <c r="B8" s="20" t="s">
        <v>27</v>
      </c>
      <c r="C8" s="16"/>
      <c r="D8" s="16"/>
      <c r="E8" s="16"/>
      <c r="F8" s="16"/>
      <c r="G8" s="16"/>
      <c r="H8" s="15"/>
      <c r="I8" s="15"/>
      <c r="J8" s="16"/>
      <c r="K8" s="16"/>
      <c r="L8" s="16"/>
      <c r="M8" s="16"/>
      <c r="N8" s="16"/>
      <c r="O8" s="17">
        <v>1</v>
      </c>
      <c r="P8" s="16"/>
      <c r="Q8" s="16"/>
      <c r="R8" s="16"/>
      <c r="S8" s="16"/>
      <c r="T8" s="16"/>
      <c r="U8" s="16"/>
      <c r="V8" s="16">
        <v>0.12</v>
      </c>
      <c r="W8" s="16"/>
      <c r="X8" s="16"/>
      <c r="Y8" s="25" t="s">
        <v>138</v>
      </c>
      <c r="Z8" s="25">
        <f>1*(10^9.6)</f>
        <v>3981071705.5349751</v>
      </c>
      <c r="AA8" s="15"/>
    </row>
    <row r="9" spans="1:36" x14ac:dyDescent="0.25">
      <c r="A9" s="14" t="s">
        <v>79</v>
      </c>
      <c r="B9" s="20" t="s">
        <v>79</v>
      </c>
      <c r="C9" s="16"/>
      <c r="D9" s="16"/>
      <c r="E9" s="16"/>
      <c r="F9" s="16"/>
      <c r="G9" s="16"/>
      <c r="H9" s="15"/>
      <c r="I9" s="15"/>
      <c r="J9" s="16"/>
      <c r="K9" s="16"/>
      <c r="L9" s="16"/>
      <c r="M9" s="16"/>
      <c r="N9" s="16"/>
      <c r="O9" s="29"/>
      <c r="P9" s="16"/>
      <c r="Q9" s="16"/>
      <c r="R9" s="16"/>
      <c r="S9" s="16">
        <v>12</v>
      </c>
      <c r="T9" s="16">
        <v>0.03</v>
      </c>
      <c r="U9" s="16"/>
      <c r="V9" s="16"/>
      <c r="W9" s="16"/>
      <c r="X9" s="16"/>
      <c r="Y9" s="25"/>
      <c r="Z9" s="25"/>
      <c r="AA9" s="15"/>
    </row>
    <row r="10" spans="1:36" x14ac:dyDescent="0.25">
      <c r="A10" s="14" t="s">
        <v>97</v>
      </c>
      <c r="B10" s="20" t="s">
        <v>120</v>
      </c>
      <c r="C10" s="16"/>
      <c r="D10" s="16"/>
      <c r="E10" s="16"/>
      <c r="F10" s="16"/>
      <c r="G10" s="16"/>
      <c r="H10" s="15"/>
      <c r="I10" s="15"/>
      <c r="J10" s="16"/>
      <c r="K10" s="16"/>
      <c r="L10" s="16"/>
      <c r="M10" s="16"/>
      <c r="N10" s="16">
        <v>4.3782837127845885E-4</v>
      </c>
      <c r="O10" s="29"/>
      <c r="P10" s="15">
        <v>488</v>
      </c>
      <c r="Q10" s="16"/>
      <c r="R10" s="16"/>
      <c r="S10" s="16">
        <v>13.8</v>
      </c>
      <c r="T10" s="24">
        <f>S10/U10</f>
        <v>3.1363636363636364E-2</v>
      </c>
      <c r="U10" s="16">
        <v>440</v>
      </c>
      <c r="V10" s="16">
        <v>36.4</v>
      </c>
      <c r="W10" s="16"/>
      <c r="X10" s="16"/>
      <c r="Y10" s="25"/>
      <c r="Z10" s="25"/>
      <c r="AA10" s="15"/>
    </row>
    <row r="11" spans="1:36" x14ac:dyDescent="0.25">
      <c r="A11" s="14" t="s">
        <v>121</v>
      </c>
      <c r="B11" s="15" t="s">
        <v>157</v>
      </c>
      <c r="C11" s="16"/>
      <c r="D11" s="16"/>
      <c r="E11" s="16"/>
      <c r="F11" s="16"/>
      <c r="G11" s="16"/>
      <c r="H11" s="15"/>
      <c r="I11" s="15"/>
      <c r="J11" s="16"/>
      <c r="K11" s="16"/>
      <c r="L11" s="16"/>
      <c r="M11" s="16"/>
      <c r="N11" s="16">
        <f>0.02*(1.4*10^-6)</f>
        <v>2.7999999999999999E-8</v>
      </c>
      <c r="O11" s="17">
        <v>0.02</v>
      </c>
      <c r="P11" s="16"/>
      <c r="Q11" s="16"/>
      <c r="R11" s="16"/>
      <c r="S11" s="16"/>
      <c r="T11" s="16"/>
      <c r="U11" s="16"/>
      <c r="V11" s="16"/>
      <c r="W11" s="16"/>
      <c r="X11" s="16"/>
      <c r="Y11" s="25">
        <f>1*10^13</f>
        <v>10000000000000</v>
      </c>
      <c r="Z11" s="25">
        <f>1*10^13</f>
        <v>10000000000000</v>
      </c>
      <c r="AA11" s="15">
        <v>-30</v>
      </c>
      <c r="AB11">
        <v>7.2</v>
      </c>
      <c r="AC11">
        <v>3.3</v>
      </c>
      <c r="AD11">
        <v>7</v>
      </c>
      <c r="AE11" s="32">
        <v>10500</v>
      </c>
      <c r="AI11">
        <v>1000</v>
      </c>
    </row>
    <row r="12" spans="1:36" x14ac:dyDescent="0.25">
      <c r="A12" s="14" t="s">
        <v>122</v>
      </c>
      <c r="B12" s="15" t="s">
        <v>122</v>
      </c>
      <c r="C12" s="16"/>
      <c r="D12" s="16"/>
      <c r="E12" s="16"/>
      <c r="F12" s="16"/>
      <c r="G12" s="16"/>
      <c r="H12" s="15"/>
      <c r="I12" s="15"/>
      <c r="J12" s="16"/>
      <c r="K12" s="16"/>
      <c r="L12" s="16"/>
      <c r="M12" s="16"/>
      <c r="N12" s="16"/>
      <c r="O12" s="29"/>
      <c r="P12" s="16"/>
      <c r="Q12" s="16"/>
      <c r="R12" s="16"/>
      <c r="S12" s="16"/>
      <c r="T12" s="16"/>
      <c r="U12" s="16"/>
      <c r="V12" s="16"/>
      <c r="W12" s="16"/>
      <c r="X12" s="16"/>
      <c r="Y12" s="25">
        <f>1*10^13</f>
        <v>10000000000000</v>
      </c>
      <c r="Z12" s="25">
        <f>1*10^13</f>
        <v>10000000000000</v>
      </c>
      <c r="AA12" s="15">
        <v>0</v>
      </c>
    </row>
    <row r="13" spans="1:36" x14ac:dyDescent="0.25">
      <c r="A13" s="14" t="s">
        <v>143</v>
      </c>
      <c r="B13" s="20" t="s">
        <v>143</v>
      </c>
      <c r="C13" s="16"/>
      <c r="D13" s="16"/>
      <c r="E13" s="16"/>
      <c r="F13" s="16"/>
      <c r="G13" s="16"/>
      <c r="H13" s="15"/>
      <c r="I13" s="15"/>
      <c r="J13" s="16"/>
      <c r="K13" s="16"/>
      <c r="L13" s="16"/>
      <c r="M13" s="16"/>
      <c r="N13" s="16"/>
      <c r="O13" s="29">
        <v>6.7</v>
      </c>
      <c r="P13" s="16">
        <v>1000</v>
      </c>
      <c r="Q13" s="16"/>
      <c r="R13" s="16"/>
      <c r="S13" s="16"/>
      <c r="T13" s="16"/>
      <c r="U13" s="16"/>
      <c r="V13" s="16"/>
      <c r="W13" s="16"/>
      <c r="X13" s="16"/>
      <c r="Y13" s="15"/>
      <c r="Z13" s="25">
        <f>3*10^9</f>
        <v>3000000000</v>
      </c>
      <c r="AA13" s="15">
        <v>-3.75</v>
      </c>
      <c r="AJ13" s="36">
        <v>0.70299999999999996</v>
      </c>
    </row>
    <row r="14" spans="1:36" ht="30" x14ac:dyDescent="0.25">
      <c r="C14" s="13"/>
      <c r="D14" s="13"/>
      <c r="E14" s="13"/>
      <c r="F14" s="13"/>
      <c r="G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21" t="s">
        <v>140</v>
      </c>
    </row>
    <row r="15" spans="1:36" x14ac:dyDescent="0.25">
      <c r="C15" s="13"/>
      <c r="D15" s="13"/>
      <c r="E15" s="13"/>
      <c r="F15" s="13"/>
      <c r="G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36" x14ac:dyDescent="0.25">
      <c r="C16" s="13"/>
      <c r="D16" s="13"/>
      <c r="E16" s="13"/>
      <c r="F16" s="13"/>
      <c r="G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3:24" x14ac:dyDescent="0.25">
      <c r="C17" s="13"/>
      <c r="D17" s="13"/>
      <c r="E17" s="13"/>
      <c r="F17" s="13"/>
      <c r="G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3:24" x14ac:dyDescent="0.25">
      <c r="C18" s="13"/>
      <c r="D18" s="13"/>
      <c r="E18" s="13"/>
      <c r="F18" s="13"/>
      <c r="G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26"/>
      <c r="X18" s="13"/>
    </row>
    <row r="19" spans="3:24" x14ac:dyDescent="0.25">
      <c r="C19" s="13"/>
      <c r="D19" s="13"/>
      <c r="E19" s="13"/>
      <c r="F19" s="13"/>
      <c r="G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3:24" x14ac:dyDescent="0.25">
      <c r="C20" s="13"/>
      <c r="D20" s="13"/>
      <c r="E20" s="13"/>
      <c r="F20" s="13"/>
      <c r="G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3:24" x14ac:dyDescent="0.25">
      <c r="C21" s="13"/>
      <c r="D21" s="13"/>
      <c r="E21" s="13"/>
      <c r="F21" s="13"/>
      <c r="G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3:24" x14ac:dyDescent="0.25">
      <c r="C22" s="13"/>
      <c r="D22" s="13"/>
      <c r="E22" s="13"/>
      <c r="F22" s="13"/>
      <c r="G22" s="13"/>
      <c r="I22" s="22"/>
      <c r="J22" s="22"/>
      <c r="K22" s="22"/>
      <c r="L22" s="2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3:24" x14ac:dyDescent="0.25">
      <c r="C23" s="13"/>
      <c r="D23" s="13"/>
      <c r="E23" s="13"/>
      <c r="F23" s="13"/>
      <c r="G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9" spans="3:24" x14ac:dyDescent="0.25">
      <c r="I29" s="1"/>
      <c r="J29" s="1"/>
      <c r="K29" s="1"/>
      <c r="L2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D178-968D-414E-A806-3AD0B19765F5}">
  <dimension ref="A1:C5"/>
  <sheetViews>
    <sheetView workbookViewId="0">
      <selection activeCell="D9" sqref="D9"/>
    </sheetView>
  </sheetViews>
  <sheetFormatPr defaultRowHeight="15" x14ac:dyDescent="0.25"/>
  <cols>
    <col min="1" max="1" width="16.140625" style="1" customWidth="1"/>
  </cols>
  <sheetData>
    <row r="1" spans="1:3" x14ac:dyDescent="0.25">
      <c r="A1" s="1" t="s">
        <v>126</v>
      </c>
    </row>
    <row r="2" spans="1:3" s="1" customFormat="1" x14ac:dyDescent="0.25">
      <c r="A2" s="1" t="s">
        <v>73</v>
      </c>
      <c r="B2" s="1" t="s">
        <v>45</v>
      </c>
      <c r="C2" s="1" t="s">
        <v>92</v>
      </c>
    </row>
    <row r="3" spans="1:3" x14ac:dyDescent="0.25">
      <c r="A3" s="1" t="s">
        <v>94</v>
      </c>
      <c r="B3" t="s">
        <v>95</v>
      </c>
      <c r="C3">
        <v>-30</v>
      </c>
    </row>
    <row r="4" spans="1:3" x14ac:dyDescent="0.25">
      <c r="A4" s="1" t="s">
        <v>93</v>
      </c>
      <c r="B4" t="s">
        <v>95</v>
      </c>
      <c r="C4">
        <v>0</v>
      </c>
    </row>
    <row r="5" spans="1:3" x14ac:dyDescent="0.25">
      <c r="A5" s="1" t="s">
        <v>31</v>
      </c>
      <c r="B5" t="s">
        <v>125</v>
      </c>
      <c r="C5">
        <v>-6.5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16D9-0ABB-4968-9A18-1B6802806ADF}">
  <dimension ref="A1:D127"/>
  <sheetViews>
    <sheetView workbookViewId="0">
      <pane ySplit="1" topLeftCell="A79" activePane="bottomLeft" state="frozen"/>
      <selection pane="bottomLeft" activeCell="D78" sqref="D78"/>
    </sheetView>
  </sheetViews>
  <sheetFormatPr defaultRowHeight="15" x14ac:dyDescent="0.25"/>
  <cols>
    <col min="1" max="1" width="15" customWidth="1"/>
    <col min="2" max="2" width="11.28515625" style="3" bestFit="1" customWidth="1"/>
    <col min="3" max="3" width="45.28515625" style="3" bestFit="1" customWidth="1"/>
    <col min="4" max="4" width="35.42578125" bestFit="1" customWidth="1"/>
  </cols>
  <sheetData>
    <row r="1" spans="1:4" x14ac:dyDescent="0.25">
      <c r="A1" s="1" t="s">
        <v>73</v>
      </c>
      <c r="B1" s="2" t="s">
        <v>20</v>
      </c>
      <c r="C1" s="2" t="s">
        <v>21</v>
      </c>
      <c r="D1" s="1" t="s">
        <v>22</v>
      </c>
    </row>
    <row r="2" spans="1:4" s="1" customFormat="1" x14ac:dyDescent="0.25">
      <c r="A2" s="1" t="s">
        <v>0</v>
      </c>
      <c r="B2" s="1">
        <v>5.2000000000000002E-6</v>
      </c>
    </row>
    <row r="3" spans="1:4" x14ac:dyDescent="0.25">
      <c r="A3" t="s">
        <v>1</v>
      </c>
      <c r="B3" s="3" t="s">
        <v>9</v>
      </c>
      <c r="C3" s="3" t="s">
        <v>154</v>
      </c>
      <c r="D3" t="s">
        <v>153</v>
      </c>
    </row>
    <row r="4" spans="1:4" x14ac:dyDescent="0.25">
      <c r="A4" t="s">
        <v>2</v>
      </c>
      <c r="B4" s="3" t="s">
        <v>3</v>
      </c>
    </row>
    <row r="5" spans="1:4" x14ac:dyDescent="0.25">
      <c r="A5" t="s">
        <v>4</v>
      </c>
      <c r="B5" s="3" t="s">
        <v>10</v>
      </c>
      <c r="C5" s="3" t="s">
        <v>124</v>
      </c>
    </row>
    <row r="6" spans="1:4" x14ac:dyDescent="0.25">
      <c r="A6" t="s">
        <v>5</v>
      </c>
      <c r="B6" s="3">
        <v>9.8000000000000007</v>
      </c>
      <c r="C6" s="37" t="s">
        <v>85</v>
      </c>
    </row>
    <row r="7" spans="1:4" x14ac:dyDescent="0.25">
      <c r="A7" t="s">
        <v>6</v>
      </c>
      <c r="B7" s="3">
        <v>2.9000000000000001E-2</v>
      </c>
      <c r="C7" s="37"/>
    </row>
    <row r="8" spans="1:4" x14ac:dyDescent="0.25">
      <c r="A8" t="s">
        <v>8</v>
      </c>
      <c r="B8" s="4">
        <v>9.3399999999999993E-3</v>
      </c>
    </row>
    <row r="10" spans="1:4" x14ac:dyDescent="0.25">
      <c r="A10" t="s">
        <v>11</v>
      </c>
      <c r="B10" s="3">
        <v>295.5</v>
      </c>
      <c r="C10" t="s">
        <v>84</v>
      </c>
    </row>
    <row r="11" spans="1:4" x14ac:dyDescent="0.25">
      <c r="A11" t="s">
        <v>12</v>
      </c>
      <c r="B11" s="3">
        <v>0.188</v>
      </c>
      <c r="C11"/>
    </row>
    <row r="12" spans="1:4" x14ac:dyDescent="0.25">
      <c r="B12" s="3">
        <v>0.187</v>
      </c>
      <c r="C12" s="3" t="s">
        <v>82</v>
      </c>
    </row>
    <row r="13" spans="1:4" x14ac:dyDescent="0.25">
      <c r="A13" t="s">
        <v>38</v>
      </c>
      <c r="B13" s="3">
        <v>0.318</v>
      </c>
      <c r="C13" t="s">
        <v>133</v>
      </c>
    </row>
    <row r="15" spans="1:4" s="11" customFormat="1" x14ac:dyDescent="0.25">
      <c r="A15" s="11" t="s">
        <v>55</v>
      </c>
      <c r="B15" s="12" t="s">
        <v>3</v>
      </c>
    </row>
    <row r="16" spans="1:4" x14ac:dyDescent="0.25">
      <c r="A16" t="s">
        <v>45</v>
      </c>
      <c r="B16" s="28" t="s">
        <v>134</v>
      </c>
      <c r="C16" s="3" t="s">
        <v>136</v>
      </c>
    </row>
    <row r="17" spans="1:4" x14ac:dyDescent="0.25">
      <c r="A17" t="s">
        <v>59</v>
      </c>
      <c r="B17" s="3">
        <v>1</v>
      </c>
      <c r="C17" s="3" t="s">
        <v>136</v>
      </c>
    </row>
    <row r="18" spans="1:4" x14ac:dyDescent="0.25">
      <c r="A18" t="s">
        <v>11</v>
      </c>
      <c r="B18" s="27">
        <v>298.60000000000002</v>
      </c>
      <c r="C18" s="3" t="s">
        <v>43</v>
      </c>
      <c r="D18" t="s">
        <v>57</v>
      </c>
    </row>
    <row r="19" spans="1:4" x14ac:dyDescent="0.25">
      <c r="A19" t="s">
        <v>145</v>
      </c>
      <c r="B19" s="3">
        <v>0</v>
      </c>
    </row>
    <row r="20" spans="1:4" x14ac:dyDescent="0.25">
      <c r="A20" t="s">
        <v>150</v>
      </c>
      <c r="B20" s="33">
        <v>148900</v>
      </c>
      <c r="C20" s="3" t="s">
        <v>149</v>
      </c>
      <c r="D20" s="31"/>
    </row>
    <row r="21" spans="1:4" x14ac:dyDescent="0.25">
      <c r="D21" t="s">
        <v>146</v>
      </c>
    </row>
    <row r="22" spans="1:4" s="1" customFormat="1" x14ac:dyDescent="0.25">
      <c r="A22" s="1" t="s">
        <v>27</v>
      </c>
      <c r="B22" s="2"/>
      <c r="C22" s="2"/>
    </row>
    <row r="23" spans="1:4" x14ac:dyDescent="0.25">
      <c r="A23" t="s">
        <v>28</v>
      </c>
      <c r="B23" s="3">
        <v>0.12</v>
      </c>
      <c r="C23" s="3" t="s">
        <v>30</v>
      </c>
      <c r="D23" t="s">
        <v>29</v>
      </c>
    </row>
    <row r="24" spans="1:4" x14ac:dyDescent="0.25">
      <c r="A24" t="s">
        <v>45</v>
      </c>
      <c r="B24" s="28" t="s">
        <v>135</v>
      </c>
      <c r="C24" s="3" t="s">
        <v>136</v>
      </c>
    </row>
    <row r="25" spans="1:4" x14ac:dyDescent="0.25">
      <c r="A25" t="s">
        <v>59</v>
      </c>
      <c r="B25" s="3">
        <v>1</v>
      </c>
      <c r="C25" s="3" t="s">
        <v>136</v>
      </c>
    </row>
    <row r="26" spans="1:4" x14ac:dyDescent="0.25">
      <c r="A26" t="s">
        <v>38</v>
      </c>
      <c r="B26" s="3">
        <v>3.2000000000000001E-2</v>
      </c>
      <c r="C26" t="s">
        <v>159</v>
      </c>
    </row>
    <row r="27" spans="1:4" x14ac:dyDescent="0.25">
      <c r="C27"/>
    </row>
    <row r="28" spans="1:4" s="1" customFormat="1" x14ac:dyDescent="0.25">
      <c r="A28" s="1" t="s">
        <v>15</v>
      </c>
      <c r="B28" s="2"/>
      <c r="C28" s="2"/>
    </row>
    <row r="29" spans="1:4" s="1" customFormat="1" x14ac:dyDescent="0.25">
      <c r="A29" t="s">
        <v>1</v>
      </c>
      <c r="B29" s="2"/>
      <c r="C29" s="2"/>
    </row>
    <row r="30" spans="1:4" x14ac:dyDescent="0.25">
      <c r="A30" t="s">
        <v>2</v>
      </c>
      <c r="B30" s="3" t="s">
        <v>35</v>
      </c>
      <c r="C30" s="3" t="s">
        <v>36</v>
      </c>
    </row>
    <row r="31" spans="1:4" x14ac:dyDescent="0.25">
      <c r="A31" t="s">
        <v>4</v>
      </c>
    </row>
    <row r="32" spans="1:4" x14ac:dyDescent="0.25">
      <c r="A32" t="s">
        <v>5</v>
      </c>
      <c r="B32" s="3">
        <v>0.3</v>
      </c>
      <c r="C32" s="5" t="s">
        <v>41</v>
      </c>
      <c r="D32" t="s">
        <v>42</v>
      </c>
    </row>
    <row r="33" spans="1:4" x14ac:dyDescent="0.25">
      <c r="A33" t="s">
        <v>6</v>
      </c>
      <c r="B33" s="3">
        <v>0.52</v>
      </c>
      <c r="C33" s="5" t="s">
        <v>41</v>
      </c>
      <c r="D33" t="s">
        <v>42</v>
      </c>
    </row>
    <row r="34" spans="1:4" x14ac:dyDescent="0.25">
      <c r="A34" t="s">
        <v>8</v>
      </c>
    </row>
    <row r="35" spans="1:4" x14ac:dyDescent="0.25">
      <c r="A35" t="s">
        <v>11</v>
      </c>
    </row>
    <row r="36" spans="1:4" x14ac:dyDescent="0.25">
      <c r="A36" t="s">
        <v>11</v>
      </c>
    </row>
    <row r="37" spans="1:4" x14ac:dyDescent="0.25">
      <c r="A37" t="s">
        <v>12</v>
      </c>
    </row>
    <row r="38" spans="1:4" s="9" customFormat="1" x14ac:dyDescent="0.25">
      <c r="A38" s="9" t="s">
        <v>38</v>
      </c>
      <c r="B38" s="10">
        <v>1000</v>
      </c>
      <c r="C38" s="9" t="s">
        <v>86</v>
      </c>
    </row>
    <row r="39" spans="1:4" x14ac:dyDescent="0.25">
      <c r="A39" t="s">
        <v>161</v>
      </c>
      <c r="C39" s="3" t="s">
        <v>162</v>
      </c>
    </row>
    <row r="41" spans="1:4" x14ac:dyDescent="0.25">
      <c r="A41" t="s">
        <v>2</v>
      </c>
      <c r="B41" s="3" t="s">
        <v>16</v>
      </c>
    </row>
    <row r="42" spans="1:4" s="9" customFormat="1" x14ac:dyDescent="0.25">
      <c r="A42" s="9" t="s">
        <v>48</v>
      </c>
      <c r="B42" s="10">
        <v>8.69</v>
      </c>
      <c r="C42" s="10"/>
      <c r="D42" s="9" t="s">
        <v>17</v>
      </c>
    </row>
    <row r="43" spans="1:4" s="9" customFormat="1" x14ac:dyDescent="0.25">
      <c r="A43" s="9" t="s">
        <v>49</v>
      </c>
      <c r="B43" s="10">
        <v>8.43E-2</v>
      </c>
      <c r="C43" s="10"/>
      <c r="D43" s="9" t="s">
        <v>17</v>
      </c>
    </row>
    <row r="44" spans="1:4" x14ac:dyDescent="0.25">
      <c r="A44" t="s">
        <v>127</v>
      </c>
    </row>
    <row r="45" spans="1:4" x14ac:dyDescent="0.25">
      <c r="A45" t="s">
        <v>63</v>
      </c>
    </row>
    <row r="47" spans="1:4" x14ac:dyDescent="0.25">
      <c r="A47" t="s">
        <v>145</v>
      </c>
      <c r="B47" s="3">
        <v>7</v>
      </c>
      <c r="C47" s="3" t="s">
        <v>149</v>
      </c>
      <c r="D47" s="31" t="s">
        <v>147</v>
      </c>
    </row>
    <row r="48" spans="1:4" x14ac:dyDescent="0.25">
      <c r="A48" t="s">
        <v>150</v>
      </c>
      <c r="B48" s="32">
        <v>10500</v>
      </c>
      <c r="C48" s="3" t="s">
        <v>149</v>
      </c>
      <c r="D48" s="31"/>
    </row>
    <row r="49" spans="1:4" x14ac:dyDescent="0.25">
      <c r="D49" s="31"/>
    </row>
    <row r="50" spans="1:4" x14ac:dyDescent="0.25">
      <c r="A50" s="1" t="s">
        <v>128</v>
      </c>
    </row>
    <row r="51" spans="1:4" x14ac:dyDescent="0.25">
      <c r="A51" t="s">
        <v>2</v>
      </c>
      <c r="B51" s="3" t="s">
        <v>129</v>
      </c>
      <c r="C51" s="3" t="s">
        <v>130</v>
      </c>
      <c r="D51" s="1" t="s">
        <v>128</v>
      </c>
    </row>
    <row r="52" spans="1:4" x14ac:dyDescent="0.25">
      <c r="D52" s="1"/>
    </row>
    <row r="53" spans="1:4" x14ac:dyDescent="0.25">
      <c r="A53" s="1" t="s">
        <v>131</v>
      </c>
      <c r="B53" s="3" t="s">
        <v>132</v>
      </c>
      <c r="D53" s="1" t="s">
        <v>131</v>
      </c>
    </row>
    <row r="55" spans="1:4" s="1" customFormat="1" x14ac:dyDescent="0.25">
      <c r="A55" s="1" t="s">
        <v>7</v>
      </c>
      <c r="B55" s="2"/>
      <c r="C55" s="2"/>
      <c r="D55" s="1" t="s">
        <v>31</v>
      </c>
    </row>
    <row r="56" spans="1:4" s="1" customFormat="1" x14ac:dyDescent="0.25">
      <c r="A56" t="s">
        <v>1</v>
      </c>
      <c r="B56" s="2"/>
      <c r="C56" s="2"/>
    </row>
    <row r="57" spans="1:4" x14ac:dyDescent="0.25">
      <c r="A57" t="s">
        <v>2</v>
      </c>
      <c r="B57" s="3" t="s">
        <v>142</v>
      </c>
      <c r="C57" s="3" t="s">
        <v>141</v>
      </c>
    </row>
    <row r="58" spans="1:4" x14ac:dyDescent="0.25">
      <c r="A58" t="s">
        <v>4</v>
      </c>
    </row>
    <row r="59" spans="1:4" ht="14.45" customHeight="1" x14ac:dyDescent="0.25">
      <c r="A59" t="s">
        <v>5</v>
      </c>
      <c r="B59" s="3">
        <v>12.5</v>
      </c>
      <c r="C59" s="38" t="s">
        <v>40</v>
      </c>
      <c r="D59" t="s">
        <v>39</v>
      </c>
    </row>
    <row r="60" spans="1:4" x14ac:dyDescent="0.25">
      <c r="A60" t="s">
        <v>6</v>
      </c>
      <c r="B60" s="3">
        <v>0.06</v>
      </c>
      <c r="C60" s="38"/>
      <c r="D60" t="s">
        <v>39</v>
      </c>
    </row>
    <row r="61" spans="1:4" x14ac:dyDescent="0.25">
      <c r="A61" t="s">
        <v>8</v>
      </c>
      <c r="C61" s="8"/>
    </row>
    <row r="62" spans="1:4" x14ac:dyDescent="0.25">
      <c r="A62" t="s">
        <v>11</v>
      </c>
      <c r="B62" s="3">
        <v>30000</v>
      </c>
      <c r="C62" s="3" t="s">
        <v>26</v>
      </c>
    </row>
    <row r="63" spans="1:4" x14ac:dyDescent="0.25">
      <c r="A63" t="s">
        <v>12</v>
      </c>
      <c r="B63" s="3">
        <v>0.188</v>
      </c>
      <c r="C63" s="3" t="s">
        <v>13</v>
      </c>
      <c r="D63" t="s">
        <v>14</v>
      </c>
    </row>
    <row r="64" spans="1:4" x14ac:dyDescent="0.25">
      <c r="B64" s="3">
        <v>0.186</v>
      </c>
      <c r="C64" s="3" t="s">
        <v>82</v>
      </c>
      <c r="D64" t="s">
        <v>83</v>
      </c>
    </row>
    <row r="65" spans="1:4" x14ac:dyDescent="0.25">
      <c r="A65" t="s">
        <v>38</v>
      </c>
      <c r="B65" s="3">
        <v>1000</v>
      </c>
      <c r="C65" t="s">
        <v>86</v>
      </c>
    </row>
    <row r="67" spans="1:4" x14ac:dyDescent="0.25">
      <c r="A67" t="s">
        <v>11</v>
      </c>
      <c r="B67" s="3">
        <v>44000</v>
      </c>
      <c r="C67" s="3" t="s">
        <v>25</v>
      </c>
      <c r="D67" t="s">
        <v>24</v>
      </c>
    </row>
    <row r="69" spans="1:4" x14ac:dyDescent="0.25">
      <c r="A69" t="s">
        <v>50</v>
      </c>
    </row>
    <row r="71" spans="1:4" x14ac:dyDescent="0.25">
      <c r="A71" t="s">
        <v>48</v>
      </c>
      <c r="B71" s="3">
        <v>13.2</v>
      </c>
      <c r="C71" s="39" t="s">
        <v>40</v>
      </c>
      <c r="D71" t="s">
        <v>17</v>
      </c>
    </row>
    <row r="72" spans="1:4" x14ac:dyDescent="0.25">
      <c r="A72" t="s">
        <v>49</v>
      </c>
      <c r="B72" s="3">
        <v>7.0000000000000007E-2</v>
      </c>
      <c r="C72" s="40"/>
      <c r="D72" t="s">
        <v>17</v>
      </c>
    </row>
    <row r="73" spans="1:4" x14ac:dyDescent="0.25">
      <c r="A73" t="s">
        <v>62</v>
      </c>
      <c r="B73" s="3">
        <f>1.344*10^-11</f>
        <v>1.3439999999999999E-11</v>
      </c>
    </row>
    <row r="74" spans="1:4" x14ac:dyDescent="0.25">
      <c r="A74" t="s">
        <v>63</v>
      </c>
      <c r="B74" s="3">
        <f>3*10^-7</f>
        <v>2.9999999999999999E-7</v>
      </c>
    </row>
    <row r="75" spans="1:4" x14ac:dyDescent="0.25">
      <c r="B75" s="13"/>
    </row>
    <row r="76" spans="1:4" x14ac:dyDescent="0.25">
      <c r="A76" t="s">
        <v>145</v>
      </c>
      <c r="B76" s="13">
        <v>-5</v>
      </c>
      <c r="C76" s="3" t="s">
        <v>149</v>
      </c>
      <c r="D76" s="31" t="s">
        <v>148</v>
      </c>
    </row>
    <row r="77" spans="1:4" x14ac:dyDescent="0.25">
      <c r="A77" t="s">
        <v>150</v>
      </c>
      <c r="B77" s="32">
        <v>150</v>
      </c>
      <c r="C77" s="3" t="s">
        <v>149</v>
      </c>
      <c r="D77" t="s">
        <v>152</v>
      </c>
    </row>
    <row r="78" spans="1:4" x14ac:dyDescent="0.25">
      <c r="A78" t="s">
        <v>161</v>
      </c>
      <c r="C78" s="3" t="s">
        <v>165</v>
      </c>
    </row>
    <row r="80" spans="1:4" x14ac:dyDescent="0.25">
      <c r="A80" s="1" t="s">
        <v>18</v>
      </c>
    </row>
    <row r="81" spans="1:4" x14ac:dyDescent="0.25">
      <c r="A81" t="s">
        <v>1</v>
      </c>
    </row>
    <row r="82" spans="1:4" x14ac:dyDescent="0.25">
      <c r="A82" t="s">
        <v>2</v>
      </c>
      <c r="B82" s="3" t="s">
        <v>19</v>
      </c>
    </row>
    <row r="83" spans="1:4" x14ac:dyDescent="0.25">
      <c r="A83" t="s">
        <v>2</v>
      </c>
      <c r="B83" s="3" t="s">
        <v>87</v>
      </c>
      <c r="C83" s="3" t="s">
        <v>88</v>
      </c>
      <c r="D83" s="1" t="s">
        <v>89</v>
      </c>
    </row>
    <row r="84" spans="1:4" x14ac:dyDescent="0.25">
      <c r="A84" t="s">
        <v>4</v>
      </c>
    </row>
    <row r="85" spans="1:4" x14ac:dyDescent="0.25">
      <c r="A85" t="s">
        <v>5</v>
      </c>
    </row>
    <row r="86" spans="1:4" x14ac:dyDescent="0.25">
      <c r="A86" t="s">
        <v>6</v>
      </c>
    </row>
    <row r="87" spans="1:4" x14ac:dyDescent="0.25">
      <c r="A87" t="s">
        <v>8</v>
      </c>
    </row>
    <row r="88" spans="1:4" x14ac:dyDescent="0.25">
      <c r="A88" t="s">
        <v>11</v>
      </c>
    </row>
    <row r="89" spans="1:4" x14ac:dyDescent="0.25">
      <c r="A89" t="s">
        <v>11</v>
      </c>
    </row>
    <row r="90" spans="1:4" x14ac:dyDescent="0.25">
      <c r="A90" t="s">
        <v>12</v>
      </c>
    </row>
    <row r="91" spans="1:4" x14ac:dyDescent="0.25">
      <c r="A91" t="s">
        <v>38</v>
      </c>
      <c r="B91" s="3">
        <v>1000</v>
      </c>
      <c r="C91" t="s">
        <v>86</v>
      </c>
    </row>
    <row r="94" spans="1:4" x14ac:dyDescent="0.25">
      <c r="A94" s="1" t="s">
        <v>32</v>
      </c>
    </row>
    <row r="95" spans="1:4" x14ac:dyDescent="0.25">
      <c r="A95" t="s">
        <v>1</v>
      </c>
    </row>
    <row r="96" spans="1:4" s="5" customFormat="1" ht="30" x14ac:dyDescent="0.25">
      <c r="A96" s="5" t="s">
        <v>2</v>
      </c>
      <c r="B96" s="6" t="s">
        <v>33</v>
      </c>
      <c r="C96" s="6" t="s">
        <v>34</v>
      </c>
      <c r="D96" s="7" t="s">
        <v>37</v>
      </c>
    </row>
    <row r="97" spans="1:4" s="5" customFormat="1" x14ac:dyDescent="0.25">
      <c r="A97" t="s">
        <v>4</v>
      </c>
      <c r="B97" s="6"/>
      <c r="C97" s="6"/>
      <c r="D97" s="7"/>
    </row>
    <row r="98" spans="1:4" s="5" customFormat="1" x14ac:dyDescent="0.25">
      <c r="A98" t="s">
        <v>5</v>
      </c>
      <c r="B98" s="6"/>
      <c r="C98" s="6"/>
      <c r="D98" s="7"/>
    </row>
    <row r="99" spans="1:4" s="5" customFormat="1" x14ac:dyDescent="0.25">
      <c r="A99" t="s">
        <v>6</v>
      </c>
      <c r="B99" s="6"/>
      <c r="C99" s="6"/>
      <c r="D99" s="7"/>
    </row>
    <row r="100" spans="1:4" s="5" customFormat="1" x14ac:dyDescent="0.25">
      <c r="A100" t="s">
        <v>8</v>
      </c>
      <c r="B100" s="6"/>
      <c r="C100" s="6"/>
      <c r="D100" s="7"/>
    </row>
    <row r="101" spans="1:4" s="5" customFormat="1" x14ac:dyDescent="0.25">
      <c r="A101" t="s">
        <v>11</v>
      </c>
      <c r="B101" s="6"/>
      <c r="C101" s="6"/>
      <c r="D101" s="7"/>
    </row>
    <row r="102" spans="1:4" s="5" customFormat="1" x14ac:dyDescent="0.25">
      <c r="A102" t="s">
        <v>11</v>
      </c>
      <c r="B102" s="6"/>
      <c r="C102" s="6"/>
      <c r="D102" s="7"/>
    </row>
    <row r="103" spans="1:4" x14ac:dyDescent="0.25">
      <c r="A103" t="s">
        <v>12</v>
      </c>
    </row>
    <row r="104" spans="1:4" x14ac:dyDescent="0.25">
      <c r="A104" t="s">
        <v>38</v>
      </c>
    </row>
    <row r="106" spans="1:4" x14ac:dyDescent="0.25">
      <c r="A106" s="1" t="s">
        <v>90</v>
      </c>
    </row>
    <row r="107" spans="1:4" x14ac:dyDescent="0.25">
      <c r="A107" t="s">
        <v>2</v>
      </c>
      <c r="B107" s="3" t="s">
        <v>91</v>
      </c>
      <c r="C107" s="3" t="s">
        <v>88</v>
      </c>
    </row>
    <row r="108" spans="1:4" x14ac:dyDescent="0.25">
      <c r="A108" s="1"/>
    </row>
    <row r="109" spans="1:4" x14ac:dyDescent="0.25">
      <c r="A109" s="1"/>
    </row>
    <row r="111" spans="1:4" x14ac:dyDescent="0.25">
      <c r="A111" s="1" t="s">
        <v>23</v>
      </c>
    </row>
    <row r="112" spans="1:4" x14ac:dyDescent="0.25">
      <c r="A112" t="s">
        <v>5</v>
      </c>
      <c r="B112" s="3" t="s">
        <v>116</v>
      </c>
      <c r="C112" s="3" t="s">
        <v>113</v>
      </c>
    </row>
    <row r="113" spans="1:4" x14ac:dyDescent="0.25">
      <c r="A113" t="s">
        <v>5</v>
      </c>
      <c r="B113" s="3" t="s">
        <v>115</v>
      </c>
      <c r="C113" s="3" t="s">
        <v>114</v>
      </c>
    </row>
    <row r="114" spans="1:4" x14ac:dyDescent="0.25">
      <c r="A114" t="s">
        <v>12</v>
      </c>
      <c r="B114" s="3">
        <v>0.182</v>
      </c>
    </row>
    <row r="115" spans="1:4" x14ac:dyDescent="0.25">
      <c r="A115" t="s">
        <v>111</v>
      </c>
    </row>
    <row r="116" spans="1:4" x14ac:dyDescent="0.25">
      <c r="A116" t="s">
        <v>112</v>
      </c>
      <c r="B116" s="3" t="s">
        <v>117</v>
      </c>
      <c r="C116" s="3" t="s">
        <v>114</v>
      </c>
    </row>
    <row r="117" spans="1:4" x14ac:dyDescent="0.25">
      <c r="A117" t="s">
        <v>112</v>
      </c>
      <c r="B117" s="3" t="s">
        <v>118</v>
      </c>
      <c r="C117" s="3" t="s">
        <v>113</v>
      </c>
    </row>
    <row r="118" spans="1:4" x14ac:dyDescent="0.25">
      <c r="A118" t="s">
        <v>6</v>
      </c>
    </row>
    <row r="121" spans="1:4" x14ac:dyDescent="0.25">
      <c r="A121" s="1" t="s">
        <v>44</v>
      </c>
    </row>
    <row r="122" spans="1:4" x14ac:dyDescent="0.25">
      <c r="A122" t="s">
        <v>45</v>
      </c>
      <c r="B122" s="3" t="s">
        <v>46</v>
      </c>
      <c r="D122" t="s">
        <v>47</v>
      </c>
    </row>
    <row r="125" spans="1:4" x14ac:dyDescent="0.25">
      <c r="A125" s="1" t="s">
        <v>163</v>
      </c>
    </row>
    <row r="127" spans="1:4" x14ac:dyDescent="0.25">
      <c r="A127" t="s">
        <v>161</v>
      </c>
      <c r="C127" s="3" t="s">
        <v>164</v>
      </c>
    </row>
  </sheetData>
  <mergeCells count="3">
    <mergeCell ref="C6:C7"/>
    <mergeCell ref="C59:C60"/>
    <mergeCell ref="C71:C7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CDCE-1B39-4352-8CEC-DC7F6732E897}">
  <dimension ref="A1:D3"/>
  <sheetViews>
    <sheetView workbookViewId="0">
      <selection activeCell="C5" sqref="C5"/>
    </sheetView>
  </sheetViews>
  <sheetFormatPr defaultRowHeight="15" x14ac:dyDescent="0.25"/>
  <cols>
    <col min="1" max="1" width="9.28515625" bestFit="1" customWidth="1"/>
    <col min="2" max="2" width="14" customWidth="1"/>
    <col min="3" max="3" width="11.7109375" customWidth="1"/>
    <col min="4" max="4" width="12.140625" customWidth="1"/>
  </cols>
  <sheetData>
    <row r="1" spans="1:4" s="1" customFormat="1" x14ac:dyDescent="0.25">
      <c r="A1" s="1" t="s">
        <v>72</v>
      </c>
      <c r="B1" s="1" t="s">
        <v>62</v>
      </c>
      <c r="C1" s="1" t="s">
        <v>63</v>
      </c>
      <c r="D1" s="1" t="s">
        <v>64</v>
      </c>
    </row>
    <row r="2" spans="1:4" x14ac:dyDescent="0.25">
      <c r="A2" t="s">
        <v>61</v>
      </c>
      <c r="B2" t="s">
        <v>68</v>
      </c>
      <c r="C2" t="s">
        <v>65</v>
      </c>
      <c r="D2" t="s">
        <v>67</v>
      </c>
    </row>
    <row r="3" spans="1:4" x14ac:dyDescent="0.25">
      <c r="A3" t="s">
        <v>71</v>
      </c>
      <c r="B3" t="s">
        <v>69</v>
      </c>
      <c r="C3" t="s">
        <v>66</v>
      </c>
      <c r="D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CAA8-3F1E-47CB-9365-722FCEDFFA65}">
  <dimension ref="A1:G8"/>
  <sheetViews>
    <sheetView workbookViewId="0">
      <selection activeCell="F15" sqref="F15"/>
    </sheetView>
  </sheetViews>
  <sheetFormatPr defaultRowHeight="15" x14ac:dyDescent="0.25"/>
  <cols>
    <col min="1" max="1" width="16.140625" bestFit="1" customWidth="1"/>
    <col min="2" max="2" width="10.28515625" bestFit="1" customWidth="1"/>
    <col min="3" max="3" width="31.28515625" customWidth="1"/>
    <col min="4" max="4" width="9.42578125" customWidth="1"/>
    <col min="5" max="5" width="9.85546875" customWidth="1"/>
    <col min="6" max="6" width="11.140625" bestFit="1" customWidth="1"/>
    <col min="7" max="7" width="10.5703125" bestFit="1" customWidth="1"/>
  </cols>
  <sheetData>
    <row r="1" spans="1:7" s="22" customFormat="1" ht="32.25" x14ac:dyDescent="0.25">
      <c r="A1" s="22" t="s">
        <v>99</v>
      </c>
      <c r="B1" s="22" t="s">
        <v>107</v>
      </c>
      <c r="C1" s="23" t="s">
        <v>108</v>
      </c>
      <c r="D1" s="22" t="s">
        <v>104</v>
      </c>
      <c r="E1" s="22" t="s">
        <v>106</v>
      </c>
      <c r="F1" s="22" t="s">
        <v>109</v>
      </c>
      <c r="G1" s="22" t="s">
        <v>105</v>
      </c>
    </row>
    <row r="2" spans="1:7" x14ac:dyDescent="0.25">
      <c r="A2" t="s">
        <v>100</v>
      </c>
      <c r="B2">
        <v>9.6</v>
      </c>
      <c r="C2">
        <v>27.6</v>
      </c>
      <c r="D2">
        <v>2360</v>
      </c>
      <c r="E2">
        <v>460</v>
      </c>
      <c r="F2">
        <v>13.2</v>
      </c>
      <c r="G2">
        <v>34</v>
      </c>
    </row>
    <row r="3" spans="1:7" x14ac:dyDescent="0.25">
      <c r="A3" t="s">
        <v>119</v>
      </c>
      <c r="B3">
        <v>10</v>
      </c>
      <c r="C3">
        <v>26.8</v>
      </c>
      <c r="D3">
        <v>2240</v>
      </c>
      <c r="E3">
        <v>520</v>
      </c>
      <c r="F3">
        <v>14</v>
      </c>
      <c r="G3">
        <v>33</v>
      </c>
    </row>
    <row r="4" spans="1:7" x14ac:dyDescent="0.25">
      <c r="A4" s="21" t="s">
        <v>101</v>
      </c>
      <c r="B4">
        <v>10</v>
      </c>
      <c r="C4">
        <v>26.5</v>
      </c>
      <c r="D4">
        <v>2280</v>
      </c>
      <c r="E4">
        <v>500</v>
      </c>
      <c r="F4">
        <v>13.5</v>
      </c>
      <c r="G4">
        <v>38</v>
      </c>
    </row>
    <row r="5" spans="1:7" x14ac:dyDescent="0.25">
      <c r="A5" t="s">
        <v>102</v>
      </c>
      <c r="B5">
        <v>20.7</v>
      </c>
      <c r="C5">
        <v>25.9</v>
      </c>
      <c r="D5">
        <v>2240</v>
      </c>
      <c r="E5">
        <v>480</v>
      </c>
      <c r="F5">
        <v>13.6</v>
      </c>
      <c r="G5">
        <v>37</v>
      </c>
    </row>
    <row r="6" spans="1:7" x14ac:dyDescent="0.25">
      <c r="A6" t="s">
        <v>103</v>
      </c>
      <c r="B6">
        <v>10</v>
      </c>
      <c r="C6">
        <v>24.5</v>
      </c>
      <c r="D6">
        <v>2300</v>
      </c>
      <c r="E6">
        <v>480</v>
      </c>
      <c r="F6">
        <v>13.9</v>
      </c>
      <c r="G6">
        <v>40</v>
      </c>
    </row>
    <row r="8" spans="1:7" s="1" customFormat="1" x14ac:dyDescent="0.25">
      <c r="A8" s="1" t="s">
        <v>110</v>
      </c>
      <c r="D8" s="1">
        <f>AVERAGE(D2:D6)</f>
        <v>2284</v>
      </c>
      <c r="E8" s="1">
        <f t="shared" ref="E8:G8" si="0">AVERAGE(E2:E6)</f>
        <v>488</v>
      </c>
      <c r="F8" s="1">
        <f t="shared" si="0"/>
        <v>13.64</v>
      </c>
      <c r="G8" s="1">
        <f t="shared" si="0"/>
        <v>36.4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og_file</vt:lpstr>
      <vt:lpstr>CO2He</vt:lpstr>
      <vt:lpstr>dtails</vt:lpstr>
      <vt:lpstr>morendmembers</vt:lpstr>
      <vt:lpstr>SWC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2023-04-07T09:44:47Z</dcterms:created>
  <dcterms:modified xsi:type="dcterms:W3CDTF">2026-03-16T23:42:32Z</dcterms:modified>
</cp:coreProperties>
</file>